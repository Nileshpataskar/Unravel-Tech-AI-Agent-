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gif" ContentType="image/gi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908"/>
  <workbookPr/>
  <mc:AlternateContent xmlns:mc="http://schemas.openxmlformats.org/markup-compatibility/2006">
    <mc:Choice Requires="x15">
      <x15ac:absPath xmlns:x15ac="http://schemas.microsoft.com/office/spreadsheetml/2010/11/ac" url="/Users/macbookretina/Documents/"/>
    </mc:Choice>
  </mc:AlternateContent>
  <bookViews>
    <workbookView xWindow="380" yWindow="840" windowWidth="33220" windowHeight="18300" activeTab="2"/>
  </bookViews>
  <sheets>
    <sheet name="Sheet1" sheetId="1" r:id="rId1"/>
    <sheet name="Sheet3" sheetId="3" r:id="rId2"/>
    <sheet name="Sheet2" sheetId="2" r:id="rId3"/>
    <sheet name="Sheet9" sheetId="10" r:id="rId4"/>
    <sheet name="Sheet10" sheetId="11" r:id="rId5"/>
    <sheet name="Sheet4" sheetId="12" r:id="rId6"/>
    <sheet name="Aswin- List" sheetId="15" r:id="rId7"/>
    <sheet name="Sheet8" sheetId="18" r:id="rId8"/>
    <sheet name="Sheet11" sheetId="19" r:id="rId9"/>
    <sheet name="Sheet12" sheetId="20" r:id="rId10"/>
  </sheets>
  <definedNames>
    <definedName name="_xlnm._FilterDatabase" localSheetId="1" hidden="1">Sheet3!$C$1:$C$112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19" l="1"/>
  <c r="C12" i="19"/>
  <c r="C7" i="19"/>
  <c r="E9" i="18"/>
  <c r="C21" i="19"/>
  <c r="E10" i="15"/>
  <c r="E31" i="1"/>
  <c r="E30" i="1"/>
  <c r="E29" i="1"/>
  <c r="E28" i="1"/>
  <c r="E27" i="1"/>
  <c r="E26" i="1"/>
  <c r="E23" i="1"/>
  <c r="E22" i="1"/>
  <c r="E21" i="1"/>
  <c r="E20" i="1"/>
  <c r="E17" i="1"/>
  <c r="E15" i="1"/>
  <c r="E13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>
  <authors>
    <author>ENTERPRISE</author>
    <author>user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han digital : Accenture, ibm, Cts, need to start with Deepesh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started yet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flopped. Social media not working.</t>
        </r>
      </text>
    </comment>
    <comment ref="B5" authorId="0">
      <text>
        <r>
          <rPr>
            <b/>
            <sz val="9"/>
            <color indexed="81"/>
            <rFont val="Tahoma"/>
            <family val="2"/>
          </rPr>
          <t>ENTERPRISEmeeting this coming tuesday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interested, heavy Naukri client
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March renewal - for DB. for 2 lacs. Primarily BPO requirement. Wants proposal on walk in drive for Jan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 Biz till date. Asks for trail but has not moved ahead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2 units. Amedeus..needs to be tapped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2 lac Job fair..client has to participate.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worked upon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happy with the product..needs to be worked upon.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Awaiting conformation from Deb, mail sent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Praveen SK Globla head from BPO..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DB access picked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tapped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aligned 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Allegis connection, HR conclave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Nice person, never given business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 to meet Paul this coming week, meeting cancelled coz no budjet
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get in touch Mid December as communicated by Akash
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Allegis connection</t>
        </r>
      </text>
    </comment>
    <comment ref="B2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Amit vasishta joining HP in OCt</t>
        </r>
      </text>
    </comment>
    <comment ref="B2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to be worked upon by sharan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awaiting meeting conformation from preethi. Mail sent</t>
        </r>
      </text>
    </comment>
    <comment ref="B2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Anshuman pattnaik. Renewal due next quarter</t>
        </r>
      </text>
    </comment>
    <comment ref="B2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Vijay alocious of Samsung</t>
        </r>
      </text>
    </comment>
    <comment ref="B3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coimbatore job fair. Booking to be done. </t>
        </r>
      </text>
    </comment>
    <comment ref="B3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Trail is going on </t>
        </r>
      </text>
    </comment>
    <comment ref="B3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New SPOC..spk to sindhu nair</t>
        </r>
      </text>
    </comment>
    <comment ref="B33" authorId="0">
      <text>
        <r>
          <rPr>
            <b/>
            <sz val="9"/>
            <color indexed="81"/>
            <rFont val="Tahoma"/>
            <family val="2"/>
          </rPr>
          <t>ENTERPRISE:
will meet on the 18th of jan week</t>
        </r>
      </text>
    </comment>
    <comment ref="B3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Cris Anand is the SPoc</t>
        </r>
      </text>
    </comment>
    <comment ref="B3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do not require shine
</t>
        </r>
      </text>
    </comment>
    <comment ref="B3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7" authorId="0">
      <text>
        <r>
          <rPr>
            <b/>
            <sz val="9"/>
            <color indexed="81"/>
            <rFont val="Tahoma"/>
            <family val="2"/>
          </rPr>
          <t>ENTERPRISE:
not interested in Shine services at the moment</t>
        </r>
      </text>
    </comment>
    <comment ref="B3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Manjari - meeting fixed on 9th dec 2016
</t>
        </r>
      </text>
    </comment>
    <comment ref="B3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explored</t>
        </r>
      </text>
    </comment>
    <comment ref="B4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interested in DB</t>
        </r>
      </text>
    </comment>
    <comment ref="B4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got in touch with
</t>
        </r>
      </text>
    </comment>
    <comment ref="B4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to be explored</t>
        </r>
      </text>
    </comment>
    <comment ref="B4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execution still going on. </t>
        </r>
      </text>
    </comment>
    <comment ref="B45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Proposal to be made for Print, online and Radio</t>
        </r>
      </text>
    </comment>
    <comment ref="B4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waiting for his confirmation for next week</t>
        </r>
      </text>
    </comment>
    <comment ref="B4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Dsisc on mobile app</t>
        </r>
      </text>
    </comment>
    <comment ref="B4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Have Spoken to vikas, they are not lookin for any new vendors for 2016
</t>
        </r>
      </text>
    </comment>
    <comment ref="B4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Final discussion on press release is in progress</t>
        </r>
      </text>
    </comment>
    <comment ref="B5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 budjet for 2016 as confirmed by REX
</t>
        </r>
      </text>
    </comment>
    <comment ref="B5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Shravan</t>
        </r>
      </text>
    </comment>
    <comment ref="B5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Chunchu for discussion</t>
        </r>
      </text>
    </comment>
    <comment ref="B5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to be followed up with Zirus and Avi. Ganesh is the spoc. </t>
        </r>
      </text>
    </comment>
    <comment ref="B5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mail sent to rajiv, no response
</t>
        </r>
      </text>
    </comment>
    <comment ref="B5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picked. Rashmi joined broadcomm. Jan is when they may look at a zebra. </t>
        </r>
      </text>
    </comment>
    <comment ref="B5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rajeshwar rao has confirmed that meeting is possible only in jan
</t>
        </r>
      </text>
    </comment>
    <comment ref="B5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 to be explored</t>
        </r>
      </text>
    </comment>
    <comment ref="B5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explored. No contacts available. Mail sent, no response
</t>
        </r>
      </text>
    </comment>
    <comment ref="B6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Sunil joy to be met</t>
        </r>
      </text>
    </comment>
    <comment ref="B6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explored as promod and pinto have quit</t>
        </r>
      </text>
    </comment>
    <comment ref="B6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picked. We are screwed.</t>
        </r>
      </text>
    </comment>
    <comment ref="B6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Mail sent for MIJB Bangalore. Awaiting response.</t>
        </r>
      </text>
    </comment>
    <comment ref="B6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do not use naukri or any other job boards.</t>
        </r>
      </text>
    </comment>
    <comment ref="B74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Deal closed, need to fix date for DB discussions
</t>
        </r>
      </text>
    </comment>
    <comment ref="B89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get in touch with last week
</t>
        </r>
      </text>
    </comment>
    <comment ref="B93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Budjet to be finalised last week</t>
        </r>
      </text>
    </comment>
  </commentList>
</comments>
</file>

<file path=xl/comments2.xml><?xml version="1.0" encoding="utf-8"?>
<comments xmlns="http://schemas.openxmlformats.org/spreadsheetml/2006/main">
  <authors>
    <author>ENTERPRISE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han digital : Accenture, ibm, Cts, need to start with Deepesh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never given biz. Heavy monster client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started yet</t>
        </r>
      </text>
    </comment>
    <comment ref="B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 response till date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flopped. Social media not working.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has not been tapped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taken over by Nokia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set up to move to pune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DB demo's given..couldn't be opened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March renewal - for DB. for 2 lacs. Primarily BPO requirement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 Biz till date. Asks for trail but has not moved ahead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2 units. Amedeus..needs to be tapped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2 lac Job fair..client has to participate.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worked upon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happy with the product..needs to be worked upon.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Alleges connection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Praveen SK Globla head from BPO..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DB access picked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tapped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aligned 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Allegis connection, HR conclave</t>
        </r>
      </text>
    </comment>
    <comment ref="B2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Nice person, never given business</t>
        </r>
      </text>
    </comment>
    <comment ref="B2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explored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tapped</t>
        </r>
      </text>
    </comment>
    <comment ref="B2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Allegis connection</t>
        </r>
      </text>
    </comment>
    <comment ref="B2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Amit vasishta joining HP in OCt</t>
        </r>
      </text>
    </comment>
    <comment ref="B3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to be worked upon by sharan</t>
        </r>
      </text>
    </comment>
    <comment ref="B3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tapped</t>
        </r>
      </text>
    </comment>
    <comment ref="B3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Anshuman pattnaik. Renewal due next quarter</t>
        </r>
      </text>
    </comment>
    <comment ref="B3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Vijay alocious of Samsung</t>
        </r>
      </text>
    </comment>
    <comment ref="B3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coimbatore job fair. Booking to be done. </t>
        </r>
      </text>
    </comment>
    <comment ref="B3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Trail is going on </t>
        </r>
      </text>
    </comment>
    <comment ref="B3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New SPOC..spk to sindhu nair</t>
        </r>
      </text>
    </comment>
    <comment ref="B37" authorId="0">
      <text>
        <r>
          <rPr>
            <b/>
            <sz val="9"/>
            <color indexed="81"/>
            <rFont val="Tahoma"/>
            <family val="2"/>
          </rPr>
          <t>ENTERPRISE:Used for 3 days trail. Elite mind to be explored. Elite mind costing of 6 lacs too high</t>
        </r>
      </text>
    </comment>
    <comment ref="B3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Cris Anand is the SPoc</t>
        </r>
      </text>
    </comment>
    <comment ref="B3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mapped</t>
        </r>
      </text>
    </comment>
    <comment ref="B4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explored with keerthi</t>
        </r>
      </text>
    </comment>
    <comment ref="B4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Manjari - to be explored with elit mind in OND</t>
        </r>
      </text>
    </comment>
    <comment ref="B4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explored</t>
        </r>
      </text>
    </comment>
    <comment ref="B4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interested in DB</t>
        </r>
      </text>
    </comment>
    <comment ref="B4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Go ibibo acquired redbus</t>
        </r>
      </text>
    </comment>
    <comment ref="B4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to be explored</t>
        </r>
      </text>
    </comment>
    <comment ref="B4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execution still going on. </t>
        </r>
      </text>
    </comment>
    <comment ref="B5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to be explored</t>
        </r>
      </text>
    </comment>
    <comment ref="B5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Dsisc on mobile app</t>
        </r>
      </text>
    </comment>
    <comment ref="B5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interested now..asking for job. </t>
        </r>
      </text>
    </comment>
    <comment ref="B5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branding 6 lacs taken</t>
        </r>
      </text>
    </comment>
    <comment ref="B5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tapped. </t>
        </r>
      </text>
    </comment>
    <comment ref="B5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Shravan moved to informatica
</t>
        </r>
      </text>
    </comment>
    <comment ref="B5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Chunchu for discussion</t>
        </r>
      </text>
    </comment>
    <comment ref="B5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to be followed up with Zirus and Avi. Ganesh is the spoc. </t>
        </r>
      </text>
    </comment>
    <comment ref="B6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he does ads .. Personal contact of Sumanth</t>
        </r>
      </text>
    </comment>
    <comment ref="B6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picked. Rashmi joined broadcomm. Jan is when they may look at a zebra. </t>
        </r>
      </text>
    </comment>
    <comment ref="B6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trail for 3 weeks in on given by Zirus</t>
        </r>
      </text>
    </comment>
    <comment ref="B6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 to be explored</t>
        </r>
      </text>
    </comment>
    <comment ref="B6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explored</t>
        </r>
      </text>
    </comment>
    <comment ref="B6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Sunil joy to be met</t>
        </r>
      </text>
    </comment>
    <comment ref="B6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explored as promod and pinto have quit</t>
        </r>
      </text>
    </comment>
    <comment ref="B6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Mangalam gave Elite mind. Needs to be explored.</t>
        </r>
      </text>
    </comment>
    <comment ref="B6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Nadini to fix up mid sep</t>
        </r>
      </text>
    </comment>
    <comment ref="B7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to be explored</t>
        </r>
      </text>
    </comment>
  </commentList>
</comments>
</file>

<file path=xl/comments3.xml><?xml version="1.0" encoding="utf-8"?>
<comments xmlns="http://schemas.openxmlformats.org/spreadsheetml/2006/main">
  <authors>
    <author>ENTERPRISE</author>
    <author>user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ENTERPRISEmeeting this coming tuesday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interested, heavy Naukri client
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March renewal - for DB. for 2 lacs. Primarily BPO requirement. Wants proposal on walk in drive for Jan</t>
        </r>
      </text>
    </comment>
    <comment ref="B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Awaiting conformation from Deb, mail sent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get in touch Mid December as communicated by Akash
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awaiting meeting conformation from preethi. Mail sent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ENTERPRISE:
will meet on the 18th of jan week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do not require shine
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ENTERPRISE:
not interested in Shine services at the moment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not got in touch with
</t>
        </r>
      </text>
    </comment>
    <comment ref="B13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Proposal to be made for Print, online and Radio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waiting for his confirmation for next week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Have Spoken to vikas, they are not lookin for any new vendors for 2016
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Final discussion on press release is in progress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no budjet for 2016 as confirmed by REX
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mail sent to rajiv, no response
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picked. Rashmi joined broadcomm. Jan is when they may look at a zebra. 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rajeshwar rao has confirmed that meeting is possible only in jan
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 to be explored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Needs to be explored. No contacts available. Mail sent, no response
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picked. We are screwed.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Mail sent for MIJB Bangalore. Awaiting response.</t>
        </r>
      </text>
    </comment>
    <comment ref="B2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do not use naukri or any other job boards.</t>
        </r>
      </text>
    </comment>
    <comment ref="B31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Deal closed, need to fix date for DB discussions
</t>
        </r>
      </text>
    </comment>
    <comment ref="B44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get in touch with last week
</t>
        </r>
      </text>
    </comment>
    <comment ref="B48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Budjet to be finalised last week</t>
        </r>
      </text>
    </comment>
  </commentList>
</comments>
</file>

<file path=xl/comments4.xml><?xml version="1.0" encoding="utf-8"?>
<comments xmlns="http://schemas.openxmlformats.org/spreadsheetml/2006/main">
  <authors>
    <author>ENTERPRISE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Need to explore again on the social branding piece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Jayendra moved on. Met sarita. Given social branding proposal. To be explored next qtr</t>
        </r>
      </text>
    </comment>
    <comment ref="A5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introduce on mail</t>
        </r>
      </text>
    </comment>
    <comment ref="A6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and db trail given. Not responding. </t>
        </r>
      </text>
    </comment>
    <comment ref="A9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Conclave proposal.. Not going for it now.</t>
        </r>
      </text>
    </comment>
    <comment ref="A10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Elite mind to be explored</t>
        </r>
      </text>
    </comment>
    <comment ref="A11" authorId="0">
      <text>
        <r>
          <rPr>
            <b/>
            <sz val="9"/>
            <color indexed="81"/>
            <rFont val="Tahoma"/>
            <family val="2"/>
          </rPr>
          <t>ENTERPRISE: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<sst xmlns="http://schemas.openxmlformats.org/spreadsheetml/2006/main" count="2773" uniqueCount="1428">
  <si>
    <t>Client Name</t>
  </si>
  <si>
    <t>Contact Person</t>
  </si>
  <si>
    <t>Designartion</t>
  </si>
  <si>
    <t>Phone</t>
  </si>
  <si>
    <t>Email</t>
  </si>
  <si>
    <t>Airbus</t>
  </si>
  <si>
    <t>Shishir Kumar</t>
  </si>
  <si>
    <t>Manager-HR</t>
  </si>
  <si>
    <t>Akamai</t>
  </si>
  <si>
    <t>Shiva Sundar</t>
  </si>
  <si>
    <t>TA Head</t>
  </si>
  <si>
    <t>Alcatel Lucent</t>
  </si>
  <si>
    <t>Hitler Carcarvalho</t>
  </si>
  <si>
    <t>TA Manager</t>
  </si>
  <si>
    <t>Altisource</t>
  </si>
  <si>
    <t>Raghavendra Bhat</t>
  </si>
  <si>
    <t>Manager - Recruitment</t>
  </si>
  <si>
    <t>080-6616 2007/9900176207</t>
  </si>
  <si>
    <t>Altran</t>
  </si>
  <si>
    <t>dipti Nayak</t>
  </si>
  <si>
    <t>Assistant HR</t>
  </si>
  <si>
    <t>AON Hewitt</t>
  </si>
  <si>
    <t>Debobrata Hembram</t>
  </si>
  <si>
    <t>Marketing Lead - APAC</t>
  </si>
  <si>
    <t>Applied Materials</t>
  </si>
  <si>
    <t>Naqeeb Syed</t>
  </si>
  <si>
    <t>ARM</t>
  </si>
  <si>
    <t>Varsha Singh</t>
  </si>
  <si>
    <t>HR Manager</t>
  </si>
  <si>
    <t>Atkins</t>
  </si>
  <si>
    <t>Purushotham</t>
  </si>
  <si>
    <t>Recruitment Head</t>
  </si>
  <si>
    <t>Broadcom</t>
  </si>
  <si>
    <t>Mr.Jiju George</t>
  </si>
  <si>
    <t>HR Head</t>
  </si>
  <si>
    <t>ggeorge@broadcom.com</t>
  </si>
  <si>
    <t>Ciber Sites</t>
  </si>
  <si>
    <t>Vidya Vachaspathi</t>
  </si>
  <si>
    <t>Director HR</t>
  </si>
  <si>
    <t>CITRIX</t>
  </si>
  <si>
    <t>Gayatri</t>
  </si>
  <si>
    <t>Head HR</t>
  </si>
  <si>
    <t>EKA</t>
  </si>
  <si>
    <t>Sravan Rajnayan</t>
  </si>
  <si>
    <t>Global HR Recruitment</t>
  </si>
  <si>
    <t>08040819200/8105774774</t>
  </si>
  <si>
    <t>sravan.r@ekaplus.com</t>
  </si>
  <si>
    <t>EMIDS</t>
  </si>
  <si>
    <t>Pradeep Kumar</t>
  </si>
  <si>
    <t>Lead TA</t>
  </si>
  <si>
    <t>Fidelity</t>
  </si>
  <si>
    <t>Mahesh Srinivasan</t>
  </si>
  <si>
    <t>Senior Director - Staffing and HR Operations</t>
  </si>
  <si>
    <t>Mahesh.Srinivasan@fmr.com</t>
  </si>
  <si>
    <t>ims Health</t>
  </si>
  <si>
    <t>Preethiramodass</t>
  </si>
  <si>
    <t>Informatica</t>
  </si>
  <si>
    <t>ISGN</t>
  </si>
  <si>
    <t>Dipti Arulsamy</t>
  </si>
  <si>
    <t>dipti.sa@isgn.com</t>
  </si>
  <si>
    <t>Myntra</t>
  </si>
  <si>
    <t>Vishnu Iruvanti</t>
  </si>
  <si>
    <t>head TA</t>
  </si>
  <si>
    <t>Novell</t>
  </si>
  <si>
    <t>Manoj EG</t>
  </si>
  <si>
    <t>Head - HR</t>
  </si>
  <si>
    <t>Philips</t>
  </si>
  <si>
    <t>Manzoor Hussain</t>
  </si>
  <si>
    <t>Qualcomm</t>
  </si>
  <si>
    <t>Trinette Jackson</t>
  </si>
  <si>
    <t>Staffing Manager</t>
  </si>
  <si>
    <t>Sabre Travel</t>
  </si>
  <si>
    <t>Sapient Global Markets</t>
  </si>
  <si>
    <t>Avijit Datta</t>
  </si>
  <si>
    <t>Manager HR</t>
  </si>
  <si>
    <t>adatta3@sapient.com</t>
  </si>
  <si>
    <t>Software AG</t>
  </si>
  <si>
    <t>Mangalam Kumar</t>
  </si>
  <si>
    <t>Syngene</t>
  </si>
  <si>
    <t>Sundarlingam</t>
  </si>
  <si>
    <t>Target</t>
  </si>
  <si>
    <t>Suraj Pinto</t>
  </si>
  <si>
    <t>Senior Manager - HR</t>
  </si>
  <si>
    <t>Tesco</t>
  </si>
  <si>
    <t>Abraham Cherian</t>
  </si>
  <si>
    <t>Head TA</t>
  </si>
  <si>
    <t>Textron</t>
  </si>
  <si>
    <t>Pooja Bhattad</t>
  </si>
  <si>
    <t>Thomson Reuters</t>
  </si>
  <si>
    <t>Rex Michael</t>
  </si>
  <si>
    <t>Velankani Software</t>
  </si>
  <si>
    <t>Rency Jose</t>
  </si>
  <si>
    <t>Team Lead-Recruitment</t>
  </si>
  <si>
    <t> +91 (80) 40375394</t>
  </si>
  <si>
    <t>Yahoo</t>
  </si>
  <si>
    <t>Practo</t>
  </si>
  <si>
    <t>Deekshit Shagaria</t>
  </si>
  <si>
    <t xml:space="preserve">Sr TA </t>
  </si>
  <si>
    <t>deekshith@practo.com</t>
  </si>
  <si>
    <t>Sl.No</t>
  </si>
  <si>
    <t>Name</t>
  </si>
  <si>
    <t>Designation</t>
  </si>
  <si>
    <t>Accenture</t>
  </si>
  <si>
    <t>Meet Deepesh</t>
  </si>
  <si>
    <t>Sreyoshi Banerjee</t>
  </si>
  <si>
    <t>Recruitment</t>
  </si>
  <si>
    <t>sreyoshi.banerjee@accenture.com</t>
  </si>
  <si>
    <t>Sajani Philip</t>
  </si>
  <si>
    <t>Asst Mgr- TA</t>
  </si>
  <si>
    <t>sajani.philip@accenture.com</t>
  </si>
  <si>
    <t>Sukhpreet Kalra</t>
  </si>
  <si>
    <t>TA Head- India</t>
  </si>
  <si>
    <t>sukhpreet.kalra@accenture.com</t>
  </si>
  <si>
    <t>Manoj Biswas</t>
  </si>
  <si>
    <t>Head HR- India</t>
  </si>
  <si>
    <t>manoj.biswas@accenture.com</t>
  </si>
  <si>
    <t>Beena Ramakrishna</t>
  </si>
  <si>
    <t>beena.ramakrishnan@accenture.com</t>
  </si>
  <si>
    <t>Sanjeev MS</t>
  </si>
  <si>
    <t>sanjeev.m.s@accenture.com</t>
  </si>
  <si>
    <t>Deepeshjobanputra</t>
  </si>
  <si>
    <t>ACS Xerox India</t>
  </si>
  <si>
    <t>Nothing</t>
  </si>
  <si>
    <t>Arpana Mehra</t>
  </si>
  <si>
    <t>arpana.mehra@xerox.com</t>
  </si>
  <si>
    <t xml:space="preserve">Mohan Kumar </t>
  </si>
  <si>
    <t>9845670053/ 080-41190100</t>
  </si>
  <si>
    <t>mohan.kumar@xerox.com</t>
  </si>
  <si>
    <t>Jayshree</t>
  </si>
  <si>
    <t>jayshree.gambir@xerox.com</t>
  </si>
  <si>
    <t>Anitus niranjan</t>
  </si>
  <si>
    <t>Chennai</t>
  </si>
  <si>
    <t>shivani.katyal@xerox.com</t>
  </si>
  <si>
    <t>Adobe Systems</t>
  </si>
  <si>
    <t>No response</t>
  </si>
  <si>
    <t>Praveen Krishnamurthy</t>
  </si>
  <si>
    <t>HR Director</t>
  </si>
  <si>
    <t>pravkris@adobe.com</t>
  </si>
  <si>
    <t>Shwetha Singh</t>
  </si>
  <si>
    <t>TA Lead</t>
  </si>
  <si>
    <t>80 41939500/</t>
  </si>
  <si>
    <t>shwsingh@adobe.com</t>
  </si>
  <si>
    <t>Priyank Shrivastava</t>
  </si>
  <si>
    <t>Director Marketing</t>
  </si>
  <si>
    <t>pshrivas@adobe.com</t>
  </si>
  <si>
    <t>Srihari Palangala</t>
  </si>
  <si>
    <t>Marketing Manager</t>
  </si>
  <si>
    <t>9741912190/4193-39292</t>
  </si>
  <si>
    <t>spalanga@adobe.com</t>
  </si>
  <si>
    <t>Kirit Nagar</t>
  </si>
  <si>
    <t>knagar@adobe.com</t>
  </si>
  <si>
    <t>Prasad Rao</t>
  </si>
  <si>
    <t>prrao@adobe.com</t>
  </si>
  <si>
    <t>AIG</t>
  </si>
  <si>
    <t>Jennifer Prakash</t>
  </si>
  <si>
    <t>jennifer.prakash@aig.com</t>
  </si>
  <si>
    <t>shishir.kumar@airbus.com</t>
  </si>
  <si>
    <t>Surekha</t>
  </si>
  <si>
    <t>shsundar@akamai.com</t>
  </si>
  <si>
    <t>Chitra Subramanian</t>
  </si>
  <si>
    <t>Recruitment Manager</t>
  </si>
  <si>
    <t>hitler.carvalho@alcatel-lucent.com</t>
  </si>
  <si>
    <t>ALL State</t>
  </si>
  <si>
    <t>Call him after 4th June</t>
  </si>
  <si>
    <t>B Sudhir Kumar</t>
  </si>
  <si>
    <t>sbomq@allstate.com</t>
  </si>
  <si>
    <t>Chethan BV</t>
  </si>
  <si>
    <t>Allegis Group</t>
  </si>
  <si>
    <t>Divakar Vadlamani</t>
  </si>
  <si>
    <t>dvadlama@allegisgroup.com</t>
  </si>
  <si>
    <t>Thimmaiah</t>
  </si>
  <si>
    <t>tbiddand@allegisgroup.com</t>
  </si>
  <si>
    <t>Harish Pillai</t>
  </si>
  <si>
    <t>hpillai@teksystems.com</t>
  </si>
  <si>
    <t>Patrick Brutsche</t>
  </si>
  <si>
    <t>Director</t>
  </si>
  <si>
    <t>pbrutsch@teksystems.com</t>
  </si>
  <si>
    <t>Allianz Cornhill (ACIS)</t>
  </si>
  <si>
    <t>follow up</t>
  </si>
  <si>
    <t>Vinod Kutty</t>
  </si>
  <si>
    <t>vinod.kutty@allianzcornhill.co.in</t>
  </si>
  <si>
    <t>Dipanwita</t>
  </si>
  <si>
    <t>dipanwita.chakraborty@allianzcornhill.co.in</t>
  </si>
  <si>
    <t>Meeting on fri</t>
  </si>
  <si>
    <t>raghavendra.bhat@altisource.com</t>
  </si>
  <si>
    <t>Soumya</t>
  </si>
  <si>
    <t>TA</t>
  </si>
  <si>
    <t>80671300033/66991700</t>
  </si>
  <si>
    <t>Sowmya.KothandaRaamon@altisource.com</t>
  </si>
  <si>
    <t>Sharmila Santosh</t>
  </si>
  <si>
    <t>sharmila.santosh@altisource.com</t>
  </si>
  <si>
    <t>Sept 1st Week</t>
  </si>
  <si>
    <t>Janhavi Joshi</t>
  </si>
  <si>
    <t>Branding</t>
  </si>
  <si>
    <t>49146516 - 08 Oct</t>
  </si>
  <si>
    <t>janhavi.joshi@amadeus.com</t>
  </si>
  <si>
    <t>Daneshia Sethi</t>
  </si>
  <si>
    <t>Sr TA Manager</t>
  </si>
  <si>
    <t>daneshia.sethi@amadeus.com</t>
  </si>
  <si>
    <t>Sruthi</t>
  </si>
  <si>
    <t>Social Media Specialist</t>
  </si>
  <si>
    <t>49146437/6416</t>
  </si>
  <si>
    <t>mohamed.abbas@amadeus.com</t>
  </si>
  <si>
    <t>Amazon</t>
  </si>
  <si>
    <t>Call him on 12th June</t>
  </si>
  <si>
    <t>Priti Rajora</t>
  </si>
  <si>
    <t>pritir@amazon.com</t>
  </si>
  <si>
    <t>Soumya Sulegai</t>
  </si>
  <si>
    <t>ssulegai@amazon.com</t>
  </si>
  <si>
    <t>Chirag Bhayani</t>
  </si>
  <si>
    <t>Recruitment Ops Head</t>
  </si>
  <si>
    <t>bhayanic@amazon.com</t>
  </si>
  <si>
    <t xml:space="preserve">Zubin </t>
  </si>
  <si>
    <t>TA Head-APAC</t>
  </si>
  <si>
    <t>Ramya Galla</t>
  </si>
  <si>
    <t>TA Hyd</t>
  </si>
  <si>
    <t>ramyaga@amazon.com</t>
  </si>
  <si>
    <t>Sumanth</t>
  </si>
  <si>
    <t>debobrata.hembram@aon.com</t>
  </si>
  <si>
    <t>Richa Gupta</t>
  </si>
  <si>
    <t>Amitabh hajela</t>
  </si>
  <si>
    <t>Head of HR</t>
  </si>
  <si>
    <t>amitabh.hajela@aonhewit.com</t>
  </si>
  <si>
    <t>Rohit Jhamb</t>
  </si>
  <si>
    <t>rohit.jhamb@aonhewitt.com</t>
  </si>
  <si>
    <t>Vindu Malini Krishna</t>
  </si>
  <si>
    <t>bmkrishn@aonhewitt.com</t>
  </si>
  <si>
    <t>Somnath</t>
  </si>
  <si>
    <t>somnath.bhagavatula@atkinsglobal.com</t>
  </si>
  <si>
    <t>Bharat Bhartia</t>
  </si>
  <si>
    <t>40199213/199</t>
  </si>
  <si>
    <t>bharat.bhartia@atkinsglobal.com</t>
  </si>
  <si>
    <t>purushotham.k@atkinsglobal.com</t>
  </si>
  <si>
    <t>CA Technologies</t>
  </si>
  <si>
    <t>Sunil Sankar</t>
  </si>
  <si>
    <t>Head- TA</t>
  </si>
  <si>
    <t>Sunil.Sankar@ca.com</t>
  </si>
  <si>
    <t>Sakaar Anand</t>
  </si>
  <si>
    <t>Sakaar.Anand@ca.com</t>
  </si>
  <si>
    <t>Sharmistha Deb</t>
  </si>
  <si>
    <t>Social Media Manager</t>
  </si>
  <si>
    <t>406 687 7332</t>
  </si>
  <si>
    <t>Sharmistha.Deb@ca.com</t>
  </si>
  <si>
    <t xml:space="preserve"> </t>
  </si>
  <si>
    <t>Archana.Sali@ca.com</t>
  </si>
  <si>
    <t>Pursuing</t>
  </si>
  <si>
    <t>Shibith P S</t>
  </si>
  <si>
    <t>9791006982/9042006982</t>
  </si>
  <si>
    <t>shibith.ps@capgemini.com</t>
  </si>
  <si>
    <t>Sanjay Raj</t>
  </si>
  <si>
    <t>sanjay.k-raj@capgemini.com</t>
  </si>
  <si>
    <t>Rakesh</t>
  </si>
  <si>
    <t>Procurment</t>
  </si>
  <si>
    <t>rakesh.sj@capgemini.com</t>
  </si>
  <si>
    <t xml:space="preserve">Praveen Kumar SK </t>
  </si>
  <si>
    <t>praveen-kumar.sk@capgemini.com</t>
  </si>
  <si>
    <t>Bhavesh Patel</t>
  </si>
  <si>
    <t>bhavesh.a.patel@capgemini.com</t>
  </si>
  <si>
    <t>Vijaya G</t>
  </si>
  <si>
    <t>vijaya.g@capgemini.com</t>
  </si>
  <si>
    <t>Capgemini - IT</t>
  </si>
  <si>
    <t>Suresh Ramchandra</t>
  </si>
  <si>
    <t>Director Staffing</t>
  </si>
  <si>
    <t>suresh.ramachandra@capgemini.com</t>
  </si>
  <si>
    <t>Jonas Prasanna</t>
  </si>
  <si>
    <t>jonas.prasanna@capgemini.com</t>
  </si>
  <si>
    <t>Siby V Thomas</t>
  </si>
  <si>
    <t>Social Hiring</t>
  </si>
  <si>
    <t>siby.thomas@capgemini.com</t>
  </si>
  <si>
    <t>CGI</t>
  </si>
  <si>
    <t>follow up with Saran</t>
  </si>
  <si>
    <t>David francis</t>
  </si>
  <si>
    <t>Edward Francis</t>
  </si>
  <si>
    <t>Cognizant</t>
  </si>
  <si>
    <t>Vijay HM</t>
  </si>
  <si>
    <t>vijay.hm@cognizant.com</t>
  </si>
  <si>
    <t>Anitha Asrani</t>
  </si>
  <si>
    <t>Associate Director - TA</t>
  </si>
  <si>
    <t>anitha.asrani@cognizant.com</t>
  </si>
  <si>
    <t>Cognizant BPO</t>
  </si>
  <si>
    <t>Satish Manne</t>
  </si>
  <si>
    <t>Recruitment Head - South</t>
  </si>
  <si>
    <t>satish.manne@cognizant.com</t>
  </si>
  <si>
    <t>Warner Jude</t>
  </si>
  <si>
    <t>warner.jude@cognizant.com</t>
  </si>
  <si>
    <t>Sumesh Pillai</t>
  </si>
  <si>
    <t>Sr. Recruitment Manager</t>
  </si>
  <si>
    <t>CSC</t>
  </si>
  <si>
    <t>Follow up with Avinash</t>
  </si>
  <si>
    <t>Sreekanth Arimanithaya</t>
  </si>
  <si>
    <t>VP HR</t>
  </si>
  <si>
    <t>sarimanitah2@csc.com</t>
  </si>
  <si>
    <t>Narayanan Ramachandran</t>
  </si>
  <si>
    <t>Director TA</t>
  </si>
  <si>
    <t>04466732232/89396 52338</t>
  </si>
  <si>
    <t>nramachandr8@csc.com</t>
  </si>
  <si>
    <t>Vinod Verma</t>
  </si>
  <si>
    <t>vverma51@csc.com</t>
  </si>
  <si>
    <t>Pankaj Gupta</t>
  </si>
  <si>
    <t>pgupta99@csc.com</t>
  </si>
  <si>
    <t>john.william@gm.com</t>
  </si>
  <si>
    <t>Dover</t>
  </si>
  <si>
    <t>Amrut Aiyamma</t>
  </si>
  <si>
    <t>41123421 - 26</t>
  </si>
  <si>
    <t>EMC</t>
  </si>
  <si>
    <t>call him after lunch time</t>
  </si>
  <si>
    <t xml:space="preserve">Sreejay </t>
  </si>
  <si>
    <t>sreejay.puthiyapurayil@emc.com </t>
  </si>
  <si>
    <t>Bahrat</t>
  </si>
  <si>
    <t>EY</t>
  </si>
  <si>
    <t>Ruchika Sethi</t>
  </si>
  <si>
    <t>66813567/9845346819</t>
  </si>
  <si>
    <t>ruchika.sethi@xe02.ey.com</t>
  </si>
  <si>
    <t xml:space="preserve">Marjeri Mathews
</t>
  </si>
  <si>
    <t>Sr Manager</t>
  </si>
  <si>
    <t>Marjeri.Mathew@xe02.ey.com</t>
  </si>
  <si>
    <t xml:space="preserve">Sudeshna Chakravarti </t>
  </si>
  <si>
    <t>Asst Director Recruitment</t>
  </si>
  <si>
    <t>sudeshna.chakravarti@xe02.ey.com</t>
  </si>
  <si>
    <t>Rajni Singh</t>
  </si>
  <si>
    <t>AM Recruitment</t>
  </si>
  <si>
    <t>Rajni.Singh@xe02.ey.com</t>
  </si>
  <si>
    <t>Paul Rajan</t>
  </si>
  <si>
    <t>Paul.Rajan@xe02.ey.com</t>
  </si>
  <si>
    <t>Naveen</t>
  </si>
  <si>
    <t>Manager TA</t>
  </si>
  <si>
    <t xml:space="preserve">98860 14958 </t>
  </si>
  <si>
    <t>Naveen.Subbarathniah@xe02.ey.com</t>
  </si>
  <si>
    <t>Shantharam</t>
  </si>
  <si>
    <t>FICO</t>
  </si>
  <si>
    <t>Akash Bothera</t>
  </si>
  <si>
    <t>93425-04692</t>
  </si>
  <si>
    <t>akashbothera@fico.com</t>
  </si>
  <si>
    <t>General Electric</t>
  </si>
  <si>
    <t>Aarif Aziz</t>
  </si>
  <si>
    <t>aarif.aziz@ge.com</t>
  </si>
  <si>
    <t>Mona Hakeem</t>
  </si>
  <si>
    <t>mona.hakeem@ge.com</t>
  </si>
  <si>
    <t>Manmeet Walia</t>
  </si>
  <si>
    <t>Talent Brand &amp; Recruitment Leader, GE APAC, Middle East &amp; Africa</t>
  </si>
  <si>
    <t>Shikhar Sood</t>
  </si>
  <si>
    <t>TA Lead for Technology</t>
  </si>
  <si>
    <t>HP</t>
  </si>
  <si>
    <t>Meeting on 2nd</t>
  </si>
  <si>
    <t>Mrinalini</t>
  </si>
  <si>
    <t>HR Branding</t>
  </si>
  <si>
    <t>mrinalini.nayak@hp.com</t>
  </si>
  <si>
    <t>Rahul Nandi</t>
  </si>
  <si>
    <t>TA Director</t>
  </si>
  <si>
    <t>rahul.nandi@hp.com</t>
  </si>
  <si>
    <t>IBM</t>
  </si>
  <si>
    <t>Abhilash Nair</t>
  </si>
  <si>
    <t>Head TA-India+APAC</t>
  </si>
  <si>
    <t>abhi.nair@in.ibm.com</t>
  </si>
  <si>
    <t>Reena Roy</t>
  </si>
  <si>
    <t>Social Recruitment (Mumbai)</t>
  </si>
  <si>
    <t>reenaroy@in.ibm.com</t>
  </si>
  <si>
    <t>Donald Mitchell</t>
  </si>
  <si>
    <t>Vendor Manager</t>
  </si>
  <si>
    <t>donald.mitchell@in.ibm.com</t>
  </si>
  <si>
    <t>Kaushik</t>
  </si>
  <si>
    <t>koushik.raghavendra@in.ibm.com</t>
  </si>
  <si>
    <t>Nitin Sharma</t>
  </si>
  <si>
    <t>Finance (for TA spends)</t>
  </si>
  <si>
    <t>Nitin Sharma27 &lt;nitin_sharma@in.ibm.com&gt;</t>
  </si>
  <si>
    <t>Sakshi Gaur</t>
  </si>
  <si>
    <t>Recruitment manager</t>
  </si>
  <si>
    <t>saksgaur@in.ibm.com</t>
  </si>
  <si>
    <t>Debashish</t>
  </si>
  <si>
    <t>debashish.c@in.ibm.com</t>
  </si>
  <si>
    <t>Jayaram (Ex Employee)</t>
  </si>
  <si>
    <t>Sr. Manager-Recruitment Ops</t>
  </si>
  <si>
    <t>jayaram.ea@in.ibm.com</t>
  </si>
  <si>
    <t>Ramachandran Mangudi</t>
  </si>
  <si>
    <t>Recruitment Head IBM Daksh Blore/South</t>
  </si>
  <si>
    <t>India HR Head</t>
  </si>
  <si>
    <t>pramdoss@in.imshealth.com</t>
  </si>
  <si>
    <t>Anupama Rammohan</t>
  </si>
  <si>
    <t>Infinite</t>
  </si>
  <si>
    <t>Call him on 21st for a meeting</t>
  </si>
  <si>
    <t>Ansuman Patnaik</t>
  </si>
  <si>
    <t>AVP - HR</t>
  </si>
  <si>
    <t>ansuman.patnaik@infinite.com</t>
  </si>
  <si>
    <t>Amrut Chilla</t>
  </si>
  <si>
    <t>Vijay J Aloysius</t>
  </si>
  <si>
    <t>vijayj@informatica.com</t>
  </si>
  <si>
    <t>Bhavik Kaklotar</t>
  </si>
  <si>
    <t>Campus Relation</t>
  </si>
  <si>
    <t>bkaklotar@informatica.com</t>
  </si>
  <si>
    <t>Sangeetha Phalguna</t>
  </si>
  <si>
    <t>Country Manager Sales</t>
  </si>
  <si>
    <t>sphalgunan@informatica.com</t>
  </si>
  <si>
    <t>Rohit Agrawal</t>
  </si>
  <si>
    <t>080-40203000/51125480/9686435400</t>
  </si>
  <si>
    <t>ragrawal@informatica.com</t>
  </si>
  <si>
    <t>Infosys BPO</t>
  </si>
  <si>
    <t>Raghavendra K</t>
  </si>
  <si>
    <t>Head- HR</t>
  </si>
  <si>
    <t>raghav_k@infosys.com</t>
  </si>
  <si>
    <t>Amitesh Pandey</t>
  </si>
  <si>
    <t>Mgr TA</t>
  </si>
  <si>
    <t>amitesh_pandey01@infosys.com</t>
  </si>
  <si>
    <t>Rashid Kareem</t>
  </si>
  <si>
    <t>Rashid_kareem@infosys.com</t>
  </si>
  <si>
    <t>Nidhi Shukla</t>
  </si>
  <si>
    <t>Lead Recruitment</t>
  </si>
  <si>
    <t>nidhi_shukla@infosys.com</t>
  </si>
  <si>
    <t>Intel</t>
  </si>
  <si>
    <t>Sagar Raina</t>
  </si>
  <si>
    <t>sagar_raina@mcafee.com</t>
  </si>
  <si>
    <t>Sindhu Nair</t>
  </si>
  <si>
    <t>sindhu_nair@mcafee.com</t>
  </si>
  <si>
    <t>Metricstream</t>
  </si>
  <si>
    <t>Priyanka</t>
  </si>
  <si>
    <t>priyanka@metricstream.com</t>
  </si>
  <si>
    <t>Nihar</t>
  </si>
  <si>
    <t>Marcom</t>
  </si>
  <si>
    <t>nihar.gundumalla@metricstream.com</t>
  </si>
  <si>
    <t>Mindtree</t>
  </si>
  <si>
    <t>Krishna Kumar</t>
  </si>
  <si>
    <t>CEO</t>
  </si>
  <si>
    <t>Krishnakumar_Natarajan@mindtree.com</t>
  </si>
  <si>
    <t>Ravi Shankar</t>
  </si>
  <si>
    <t>ravi@mindtree.com</t>
  </si>
  <si>
    <t>Osborne Pereira</t>
  </si>
  <si>
    <t>Osborne_Pereira@mindtree.com</t>
  </si>
  <si>
    <t>Christopher Anand</t>
  </si>
  <si>
    <t>Christopher_Anand@mindtree.com</t>
  </si>
  <si>
    <t>Vinayak Duney</t>
  </si>
  <si>
    <t>TA Program Manager</t>
  </si>
  <si>
    <t>vinayak_dubey@mindtree.com</t>
  </si>
  <si>
    <t>Motorola Mobility/Lenovo</t>
  </si>
  <si>
    <t>Smitashree Menon</t>
  </si>
  <si>
    <t>Molly Das</t>
  </si>
  <si>
    <t>molly@motorola.com</t>
  </si>
  <si>
    <t>Pathy RVC</t>
  </si>
  <si>
    <t>pathy@motorola.com</t>
  </si>
  <si>
    <t>Mphasis</t>
  </si>
  <si>
    <t>Namitha</t>
  </si>
  <si>
    <t>Sr Manager- Employer Brand &amp; Strategic TA</t>
  </si>
  <si>
    <t>Namitha.Manjunath@mphasis.com</t>
  </si>
  <si>
    <t>Phanideepak Akella</t>
  </si>
  <si>
    <t>TA Mgr</t>
  </si>
  <si>
    <t>phanideepak.akella@mphasis.com</t>
  </si>
  <si>
    <t>Vandana Sharma</t>
  </si>
  <si>
    <t>AVP HR</t>
  </si>
  <si>
    <t>vandana.sharma@myntra.com</t>
  </si>
  <si>
    <t>Saloni</t>
  </si>
  <si>
    <t>Manager</t>
  </si>
  <si>
    <t>saloni.bhargava@myntra.com</t>
  </si>
  <si>
    <t>NetApp</t>
  </si>
  <si>
    <t>Manjari</t>
  </si>
  <si>
    <t>Recruitment Manger</t>
  </si>
  <si>
    <t>manjari@netapp.com</t>
  </si>
  <si>
    <t>Vijay Linus</t>
  </si>
  <si>
    <t>vijay.linus@netapp.com</t>
  </si>
  <si>
    <t>Protima Achayya</t>
  </si>
  <si>
    <t>Staffing Head</t>
  </si>
  <si>
    <t>gmanoj@novell.com</t>
  </si>
  <si>
    <t>Padmanabhan</t>
  </si>
  <si>
    <t>spadmanabhan@novell.com </t>
  </si>
  <si>
    <t xml:space="preserve">Ola </t>
  </si>
  <si>
    <t>Amit Mathur</t>
  </si>
  <si>
    <t>Oracle</t>
  </si>
  <si>
    <t>Gunasekhar</t>
  </si>
  <si>
    <t>Pilani Soft labs (redbus.in)</t>
  </si>
  <si>
    <t>Sai Prasad</t>
  </si>
  <si>
    <t>sai.prasad@redbus.in</t>
  </si>
  <si>
    <t>Vidyadhar Reddy</t>
  </si>
  <si>
    <t>Asst Manager</t>
  </si>
  <si>
    <t>vidyadhar.reddy@redbus.in</t>
  </si>
  <si>
    <t>trinette@qualcomm.com</t>
  </si>
  <si>
    <t>Murali M</t>
  </si>
  <si>
    <t>muralir@qualcomm.com</t>
  </si>
  <si>
    <t>Randstad</t>
  </si>
  <si>
    <t>Kartik Murugan</t>
  </si>
  <si>
    <t>Head Marketing</t>
  </si>
  <si>
    <t>kartik.m@randstad.in</t>
  </si>
  <si>
    <t>Aditya Narayan Mishra</t>
  </si>
  <si>
    <t>President Staffing</t>
  </si>
  <si>
    <t>aditya@randstad.in</t>
  </si>
  <si>
    <t>Srivathsan</t>
  </si>
  <si>
    <t>srivathsan.s@randstad.in</t>
  </si>
  <si>
    <t>Shreedevi Roogi</t>
  </si>
  <si>
    <t>shreedevi.roogi@sabre.com</t>
  </si>
  <si>
    <t>Samsung</t>
  </si>
  <si>
    <t>Vijay Aloysius</t>
  </si>
  <si>
    <t>TA HEAD</t>
  </si>
  <si>
    <t>080 3341 3005</t>
  </si>
  <si>
    <t>vijay.al@samsung.com</t>
  </si>
  <si>
    <t>Sanjeev Prasad</t>
  </si>
  <si>
    <t>Call 08033413005 to connect to him</t>
  </si>
  <si>
    <t>Sudheer</t>
  </si>
  <si>
    <t>GM HR</t>
  </si>
  <si>
    <t>sudheer.g@samsung.com</t>
  </si>
  <si>
    <t>Nitin D C</t>
  </si>
  <si>
    <t>nitin.dc@samsung.com</t>
  </si>
  <si>
    <t>Sukumar</t>
  </si>
  <si>
    <t>HR Planning</t>
  </si>
  <si>
    <t>suku.hegde@samsung.com</t>
  </si>
  <si>
    <t>Sandisk</t>
  </si>
  <si>
    <t>21st june</t>
  </si>
  <si>
    <t>Naveen Kumar N</t>
  </si>
  <si>
    <t>naveen.kumar@sandisk.com</t>
  </si>
  <si>
    <t>Sandhya Kini</t>
  </si>
  <si>
    <t>HR TA</t>
  </si>
  <si>
    <t>SAP</t>
  </si>
  <si>
    <t>Avinsah Simon</t>
  </si>
  <si>
    <t>Anil Warrier</t>
  </si>
  <si>
    <t>anil.warrier@sap.com</t>
  </si>
  <si>
    <t>Prerna Priya</t>
  </si>
  <si>
    <t>HR Consultant</t>
  </si>
  <si>
    <t>Rakesh Kumar</t>
  </si>
  <si>
    <t>RegionalProcurment</t>
  </si>
  <si>
    <t>Syniverse</t>
  </si>
  <si>
    <t>Vikas M Kumar</t>
  </si>
  <si>
    <t>India Lead - TA</t>
  </si>
  <si>
    <t>vikas.kumar@syniverse.com</t>
  </si>
  <si>
    <t>Tangoe</t>
  </si>
  <si>
    <t>Preejith Shashi</t>
  </si>
  <si>
    <t>preejith.shashi@tangoe.com</t>
  </si>
  <si>
    <t>Sarvesh Vaidya</t>
  </si>
  <si>
    <t>Sr Director HR</t>
  </si>
  <si>
    <t>sarvesh.vaidya@tangoe.com</t>
  </si>
  <si>
    <t>Mahesh Ramalingam</t>
  </si>
  <si>
    <t>mahesh.ramalingam@thomsonreuters.com</t>
  </si>
  <si>
    <t>Shreeram Varahan</t>
  </si>
  <si>
    <t>shreeram.varahan@thomsonreuters.com</t>
  </si>
  <si>
    <t>rex.michael@thomsonreuters.com</t>
  </si>
  <si>
    <t>Thoughtworks</t>
  </si>
  <si>
    <t>Preeti Singh</t>
  </si>
  <si>
    <t>preetis@thoughtworks.com</t>
  </si>
  <si>
    <t>Vmware</t>
  </si>
  <si>
    <t>Shravan</t>
  </si>
  <si>
    <t>shravan@vmware.com</t>
  </si>
  <si>
    <t>Wipro BPO</t>
  </si>
  <si>
    <t>Sangeeta Malik</t>
  </si>
  <si>
    <t>TA and Branding</t>
  </si>
  <si>
    <t>sangeeta.malik@wipro.com</t>
  </si>
  <si>
    <t>Pranav Sabherwal</t>
  </si>
  <si>
    <t>pranav.sabherwal@wipro.com</t>
  </si>
  <si>
    <t>Wipro Technologies</t>
  </si>
  <si>
    <t>Nandini/Sumanth</t>
  </si>
  <si>
    <t>Joseph John</t>
  </si>
  <si>
    <t>joseph.john@wipro.com</t>
  </si>
  <si>
    <t>Gulpreet</t>
  </si>
  <si>
    <t>Sr Manager HR</t>
  </si>
  <si>
    <t>gulpreet.anand@wipro.com</t>
  </si>
  <si>
    <t>Ritu Bhargava</t>
  </si>
  <si>
    <t>ritu.bhargava@wipro.com</t>
  </si>
  <si>
    <t>Arpita</t>
  </si>
  <si>
    <t>HR Exe</t>
  </si>
  <si>
    <t>arpita.patel1@wipro.com</t>
  </si>
  <si>
    <t>Yokogawa</t>
  </si>
  <si>
    <t>Sudhindra Poojary</t>
  </si>
  <si>
    <t>SR Manager HR</t>
  </si>
  <si>
    <t>6221/9886731706</t>
  </si>
  <si>
    <t>sudhindra.poojary@in.yokogawa.com</t>
  </si>
  <si>
    <t>Rajeev N J</t>
  </si>
  <si>
    <t>41586000/41586201</t>
  </si>
  <si>
    <t>Zebra Technologies</t>
  </si>
  <si>
    <t>Rashmi Naryanan</t>
  </si>
  <si>
    <t>rashmi.narayan@zebra.com</t>
  </si>
  <si>
    <t>Krishna Bhagavan</t>
  </si>
  <si>
    <t>kvg386@zebra.com</t>
  </si>
  <si>
    <t>edgeverve</t>
  </si>
  <si>
    <t>Chanikya</t>
  </si>
  <si>
    <t>walmartlabs</t>
  </si>
  <si>
    <t>Jayshankar Mahadev</t>
  </si>
  <si>
    <t>Visa Inc</t>
  </si>
  <si>
    <t>Rama Telreja</t>
  </si>
  <si>
    <t xml:space="preserve">HR </t>
  </si>
  <si>
    <t>rtalreja@visa.com</t>
  </si>
  <si>
    <t>Harman</t>
  </si>
  <si>
    <t>Vinita Shrivastava</t>
  </si>
  <si>
    <t>Director- Human Resources</t>
  </si>
  <si>
    <t>080-43306304/9880463453</t>
  </si>
  <si>
    <t>vinita.shrivastava@harman.com</t>
  </si>
  <si>
    <t>Sunil Joice</t>
  </si>
  <si>
    <t>Manager, Talent Acquisition</t>
  </si>
  <si>
    <t>sunil.joice@harman.com</t>
  </si>
  <si>
    <t>Dayakar Epuru</t>
  </si>
  <si>
    <t>Sr Specialist TA</t>
  </si>
  <si>
    <t>dayakar.epuru@harman.com</t>
  </si>
  <si>
    <t>suraj.pinto@target.com</t>
  </si>
  <si>
    <t>Muthu</t>
  </si>
  <si>
    <t>Marimuthu.D@target.com</t>
  </si>
  <si>
    <t>Pramod Devaiah</t>
  </si>
  <si>
    <t>Manager Strategy and Process</t>
  </si>
  <si>
    <t>T.S.Chandrika</t>
  </si>
  <si>
    <t>naqeeb_syed@amat.com</t>
  </si>
  <si>
    <t>Monarch limaye</t>
  </si>
  <si>
    <t>monarch.limaye@softwareag.com</t>
  </si>
  <si>
    <t>mangalam.kumar@softwareag.com</t>
  </si>
  <si>
    <t>Adil</t>
  </si>
  <si>
    <t>Chaitra</t>
  </si>
  <si>
    <t>TA Executive</t>
  </si>
  <si>
    <t>88-6120-0046</t>
  </si>
  <si>
    <t>chaitra.shashikumar@softwareag.com</t>
  </si>
  <si>
    <t>AmitKumar</t>
  </si>
  <si>
    <t>HR Mngr</t>
  </si>
  <si>
    <t>sundaralingam.pashupathy@syngeneintl.com</t>
  </si>
  <si>
    <t>Srinivasu K</t>
  </si>
  <si>
    <t>abraham.cherian@in.tesco.com</t>
  </si>
  <si>
    <t>TA HEad</t>
  </si>
  <si>
    <t>pramod.devaiah@in.tesco.com</t>
  </si>
  <si>
    <t>Bhumika</t>
  </si>
  <si>
    <t>bhumika.srivastava@in.tesco.com</t>
  </si>
  <si>
    <t>Nick Williams</t>
  </si>
  <si>
    <t>nick.williams@in.tesco.com</t>
  </si>
  <si>
    <t xml:space="preserve">Aniisu K Verghese </t>
  </si>
  <si>
    <t>pbhattad@textron.com</t>
  </si>
  <si>
    <t>Nipun</t>
  </si>
  <si>
    <t>ntandan@textron.com</t>
  </si>
  <si>
    <t>Ramesh</t>
  </si>
  <si>
    <t>67409000/9886171136</t>
  </si>
  <si>
    <t>ramesh@textron.com</t>
  </si>
  <si>
    <t>Susan Mathew</t>
  </si>
  <si>
    <t>Head - TA</t>
  </si>
  <si>
    <t>susan15@yahoo-inc.com</t>
  </si>
  <si>
    <t>Radha Pradeep</t>
  </si>
  <si>
    <t>radhap@yahoo-in.com</t>
  </si>
  <si>
    <t>Aniruddh Banerjee</t>
  </si>
  <si>
    <t>HR Head -India</t>
  </si>
  <si>
    <t>aniban@yahoo-in.com</t>
  </si>
  <si>
    <t>New</t>
  </si>
  <si>
    <t>Amadeus software ind pvt ltd.</t>
  </si>
  <si>
    <t>Capgemini BPO</t>
  </si>
  <si>
    <t>McAfee ( Intel Securities)</t>
  </si>
  <si>
    <t>j</t>
  </si>
  <si>
    <t>Akamai Technologies India Private Ltd.</t>
  </si>
  <si>
    <t>Chethan Kadamba</t>
  </si>
  <si>
    <t>2nd &amp; 3rd floor,salarpuria softzone,green glen layout,bellandur</t>
  </si>
  <si>
    <t>Apotex Research Pvt ltd</t>
  </si>
  <si>
    <t>Moiz Dawar</t>
  </si>
  <si>
    <t>9538601230 x101</t>
  </si>
  <si>
    <t>mdawar@apotex.co.in</t>
  </si>
  <si>
    <t>Plot No. 1 &amp; 2, Bommasandra Industrial Area, 4th Phase,</t>
  </si>
  <si>
    <t>Kodiak Networks</t>
  </si>
  <si>
    <t>Deepthi Shetty</t>
  </si>
  <si>
    <t>sdeepthi@kodiaknetworks.com</t>
  </si>
  <si>
    <t>401 Prestige Sigma, 4th Floor 3 Vittal Mallya Road</t>
  </si>
  <si>
    <t>paramount Health Services P Ltd</t>
  </si>
  <si>
    <t>Shankar</t>
  </si>
  <si>
    <t>shankar@paramounthealth.com</t>
  </si>
  <si>
    <t>#10/1 queens road</t>
  </si>
  <si>
    <t>TRELLeborg</t>
  </si>
  <si>
    <t>Prakash p</t>
  </si>
  <si>
    <t>prakash.kumar@trelleborg.com</t>
  </si>
  <si>
    <t>Trelleborg Hosur Main Road</t>
  </si>
  <si>
    <t>Yodlee Infotech Private Limited</t>
  </si>
  <si>
    <t>Bhavya</t>
  </si>
  <si>
    <t>bshriyan@yodlee.com</t>
  </si>
  <si>
    <t>1st Floor, Mercury (2B) Block, Prestige Technology Park, Sarjapura-</t>
  </si>
  <si>
    <t>Amba Research India Pvt Ltd</t>
  </si>
  <si>
    <t>amisha</t>
  </si>
  <si>
    <t>amishad@ambaresearch.com</t>
  </si>
  <si>
    <t>Banashankari Stage 1</t>
  </si>
  <si>
    <t>BigInfo Labs India Pvt Ltd</t>
  </si>
  <si>
    <t>Radhika R Raghunath</t>
  </si>
  <si>
    <t>radhika@biginfolabs.com</t>
  </si>
  <si>
    <t>Ground Floor</t>
  </si>
  <si>
    <t>Carl Zeiss Pvt Ltd</t>
  </si>
  <si>
    <t>Bharthi V</t>
  </si>
  <si>
    <t>Bharthi@zeiss.com</t>
  </si>
  <si>
    <t>No. 22 Kensington RoadUlsoor Bengaluru /Bangalore : 560008 Karnataka ,India .</t>
  </si>
  <si>
    <t>Colt Technology Services India Private Limited</t>
  </si>
  <si>
    <t>Rohit</t>
  </si>
  <si>
    <t>rohit@colt.net</t>
  </si>
  <si>
    <t>5th &amp; 6th Floor, Silver Oak, B Wing, Manyata Embassy Business Park, Nagawara</t>
  </si>
  <si>
    <t>Fnf Business Process Outsourcing Services</t>
  </si>
  <si>
    <t>Hemanth Kumar</t>
  </si>
  <si>
    <t>heemanth@fnf.com</t>
  </si>
  <si>
    <t>No.46/P &amp; 47/P, Near Mahindra Satyam Development Centre,</t>
  </si>
  <si>
    <t>Fosroc Chemicals Inida Pvt.LTD</t>
  </si>
  <si>
    <t>rajagopalan k</t>
  </si>
  <si>
    <t>KALYANASUNDARAM.RAJAGOPALAN@FOSROC.COM</t>
  </si>
  <si>
    <t>SAPTHAGIRI PALACE 38 12TH CROSS CBI ROAD GANGANAGAR NORTH</t>
  </si>
  <si>
    <t>ISGN Solutions Pvt Ltd</t>
  </si>
  <si>
    <t>Ajay krishnakutty</t>
  </si>
  <si>
    <t>clive.vanbuerle@isgn.com</t>
  </si>
  <si>
    <t>Ground Floor, North Wing, Vayu Block, Salarpuria Gr Tech Park, Whitefield, Banga</t>
  </si>
  <si>
    <t>moog India Technology Center Pvt Ltd</t>
  </si>
  <si>
    <t>Sheela Charles</t>
  </si>
  <si>
    <t>08033728405 x405</t>
  </si>
  <si>
    <t>scarles@moog.com</t>
  </si>
  <si>
    <t>Plot No 1, 2 &amp; 3, Phase I, Electronics City</t>
  </si>
  <si>
    <t>Moog Motion Controls Pvt ltd</t>
  </si>
  <si>
    <t>Nagaraja</t>
  </si>
  <si>
    <t>info.india@moog.com</t>
  </si>
  <si>
    <t>#683, 15th Cross Road, Sarakki 2nd Phase, J. P.Nagar (Near K.S.R.T.C Layout),</t>
  </si>
  <si>
    <t>nirvana Bpo</t>
  </si>
  <si>
    <t>vinod t g</t>
  </si>
  <si>
    <t>vinod.tg@nirvanabpo.com</t>
  </si>
  <si>
    <t>bangalore</t>
  </si>
  <si>
    <t>Pradot Technologies Pvt Ltd</t>
  </si>
  <si>
    <t>Dr. Neeta</t>
  </si>
  <si>
    <t>Plot No 1110-R, Sy No. 68,</t>
  </si>
  <si>
    <t>Slk Global BPO</t>
  </si>
  <si>
    <t>B Manjula</t>
  </si>
  <si>
    <t>b.manjula@slkglobalbpo.com</t>
  </si>
  <si>
    <t>Bangalore</t>
  </si>
  <si>
    <t>Infinera</t>
  </si>
  <si>
    <t>Sreekanth S</t>
  </si>
  <si>
    <t>Snigappa@infinera.com</t>
  </si>
  <si>
    <t>No.5/1</t>
  </si>
  <si>
    <t>INFINERA INDIA PVT LTD</t>
  </si>
  <si>
    <t>Koni l</t>
  </si>
  <si>
    <t>lkoni@infinera.com</t>
  </si>
  <si>
    <t>brunton road</t>
  </si>
  <si>
    <t>Smaatplay Technologies (I) Pvt. Ltd</t>
  </si>
  <si>
    <t>Vijay</t>
  </si>
  <si>
    <t>vijay@smartplayin.com</t>
  </si>
  <si>
    <t>th Floor, Golden Towers Kodihalli, Old Airport Road Bangalore -</t>
  </si>
  <si>
    <t>Mirafra Software Technologies Pvt Ltd</t>
  </si>
  <si>
    <t>Anil B</t>
  </si>
  <si>
    <t>8041216687 x687</t>
  </si>
  <si>
    <t>anilb@mirafra.com</t>
  </si>
  <si>
    <t>Akshya Tech PArk</t>
  </si>
  <si>
    <t>sanDisk India Device Design Centre Pvt.Ltd</t>
  </si>
  <si>
    <t>Shashi s</t>
  </si>
  <si>
    <t>hr-india@sandisk.com</t>
  </si>
  <si>
    <t>Level 04 &amp; 05, Block B Bagmane Laurel Bagmane Technology Park Byrasandra, C.V. R</t>
  </si>
  <si>
    <t>Ujjivan financial services pvt ltd</t>
  </si>
  <si>
    <t>Prashanth Kumar</t>
  </si>
  <si>
    <t>prashanthkumar.hr@ujjivan.com</t>
  </si>
  <si>
    <t>#93, Jakkasnadra Extension</t>
  </si>
  <si>
    <t>Maxim India Integrated Circuit Design Pvt Ltd</t>
  </si>
  <si>
    <t>Chinmayi V</t>
  </si>
  <si>
    <t>08030285800 x800</t>
  </si>
  <si>
    <t>p.kalaiarasi@maxim-ic.com</t>
  </si>
  <si>
    <t>No. 132/133, West Wing 2nd Floor,</t>
  </si>
  <si>
    <t>SKF TECHNOLOGIES INDIA PVT LTD</t>
  </si>
  <si>
    <t>Milind pangaonka</t>
  </si>
  <si>
    <t>milind.pangaonkar@skf.com</t>
  </si>
  <si>
    <t>Plot 2, Bommasandra Industrial Area, Hosur Road, Bangalore</t>
  </si>
  <si>
    <t>SKOL Breweries Limited/SABMILLER INIDA</t>
  </si>
  <si>
    <t>prabhash.nirbhay@in.sabmiller.com</t>
  </si>
  <si>
    <t>Jalahalli Camp Road, Yeshwantpur Bangalore - 560022</t>
  </si>
  <si>
    <t>Tally Solutions Pvt Ltd</t>
  </si>
  <si>
    <t>Prathima Devi S</t>
  </si>
  <si>
    <t>prathima.devi@tallysolutions.com</t>
  </si>
  <si>
    <t>331-336</t>
  </si>
  <si>
    <t>ARM Embedded Technologies Pvt Ltd</t>
  </si>
  <si>
    <t>varsha.singh@arm.com</t>
  </si>
  <si>
    <t>Level II and III, Salarpuria Touchstone, Varthur Hobli, Marathahalli-Sarjapur</t>
  </si>
  <si>
    <t>Delphi automotive Systems Private Limited</t>
  </si>
  <si>
    <t>Archana S</t>
  </si>
  <si>
    <t>archana.s@delphi.com</t>
  </si>
  <si>
    <t>Kalyani Platina, Block 1</t>
  </si>
  <si>
    <t>Firepro Systems Pvt Ltd.</t>
  </si>
  <si>
    <t>Raghunathan</t>
  </si>
  <si>
    <t>raghunathan.s@fireprosystems.com</t>
  </si>
  <si>
    <t>Safran engineering services India Pvt ltd</t>
  </si>
  <si>
    <t>Veerabadhra Rao</t>
  </si>
  <si>
    <t>8066779998 x012</t>
  </si>
  <si>
    <t>veerabadhra.rao@safran-engineering.com</t>
  </si>
  <si>
    <t>CSRIE #32 grape garden 6th block 17th 'H' main koramangala</t>
  </si>
  <si>
    <t>SARA SUOLE PVT LTD</t>
  </si>
  <si>
    <t>Ravichandran p</t>
  </si>
  <si>
    <t>49072800 x333</t>
  </si>
  <si>
    <t>madhusudana@saragroup.in</t>
  </si>
  <si>
    <t>No.62, Site No.13, 6th Cross</t>
  </si>
  <si>
    <t>Toyota Kirloskar motor pvt. Ltd.</t>
  </si>
  <si>
    <t>Kalpana Kumar</t>
  </si>
  <si>
    <t>darshanpv@toyota-kirloskar.co.in</t>
  </si>
  <si>
    <t>Floor 10,17&amp;18, Canberra Block, UB City, No:24</t>
  </si>
  <si>
    <t>Volvo India Private Ltd.</t>
  </si>
  <si>
    <t>Jay Damodaran</t>
  </si>
  <si>
    <t>zeena.chakraborty@volvo.com</t>
  </si>
  <si>
    <t>#65/2, Bagmane Tech Park, Block - A, 5'th Floor</t>
  </si>
  <si>
    <t>Vandana Sharma no more in Myntra</t>
  </si>
  <si>
    <t>Stefanini IT Solutions</t>
  </si>
  <si>
    <t>Mu Sigma</t>
  </si>
  <si>
    <t>Lancesoft India</t>
  </si>
  <si>
    <t xml:space="preserve">Independent Technology Systems India Private Limited </t>
  </si>
  <si>
    <t>SUNQUEST INFORMATION SYSTEMS (INDIA) PRIVATE LIMITED</t>
  </si>
  <si>
    <t>Infineon</t>
  </si>
  <si>
    <t xml:space="preserve">RAMBUS CHIP TECHNOLOGIES (INDIA) PRIVATE LIMITED </t>
  </si>
  <si>
    <t>Utopia India Pvt Ltd</t>
  </si>
  <si>
    <t>Airvana</t>
  </si>
  <si>
    <t>Trianz</t>
  </si>
  <si>
    <t>Tyco Electronic/TE Connectivity</t>
  </si>
  <si>
    <t>Radiant Infosystems Limiited</t>
  </si>
  <si>
    <t xml:space="preserve">CenturyLink technologies India Pvt Ltd </t>
  </si>
  <si>
    <t>Exilant Technologies</t>
  </si>
  <si>
    <t>APPLIED MATERIALS INDIA PRIVATE LIMITED</t>
  </si>
  <si>
    <t>Obopay</t>
  </si>
  <si>
    <t>Infosys</t>
  </si>
  <si>
    <t>Salutation</t>
  </si>
  <si>
    <t>Company</t>
  </si>
  <si>
    <t>Contact</t>
  </si>
  <si>
    <t>Phone No</t>
  </si>
  <si>
    <t>New Phone</t>
  </si>
  <si>
    <t>email</t>
  </si>
  <si>
    <t>Adobe</t>
  </si>
  <si>
    <t>Ms</t>
  </si>
  <si>
    <t>Avantika Punia</t>
  </si>
  <si>
    <t>Biocon Limited</t>
  </si>
  <si>
    <t>9986282898(wn)</t>
  </si>
  <si>
    <t>080 2808 2808</t>
  </si>
  <si>
    <t>Avantika.Punia@biocon.com</t>
  </si>
  <si>
    <t>Ranjan Sarkar/ Sudhakar Banerjee</t>
  </si>
  <si>
    <t>LG CNS</t>
  </si>
  <si>
    <t>9663820541  </t>
  </si>
  <si>
    <t>ranjan.sarkar@lg-cns.com</t>
  </si>
  <si>
    <t>Mr</t>
  </si>
  <si>
    <t>080 4139 5139</t>
  </si>
  <si>
    <t>Lidya Paul</t>
  </si>
  <si>
    <t>Standard Chatered</t>
  </si>
  <si>
    <t>lidya.paul@sc.com</t>
  </si>
  <si>
    <t>TEKsystems</t>
  </si>
  <si>
    <t>80 3070 5002</t>
  </si>
  <si>
    <t>Ramya</t>
  </si>
  <si>
    <t>ADAVANCED MICRO DEVICES (AMD)</t>
  </si>
  <si>
    <t>9945874202-wn</t>
  </si>
  <si>
    <t>80-33230000</t>
  </si>
  <si>
    <t>ramya.p@amdindia.com</t>
  </si>
  <si>
    <t>Rajesh Patro</t>
  </si>
  <si>
    <t>Alcatel-Lucent India Limited</t>
  </si>
  <si>
    <t>080 30733000</t>
  </si>
  <si>
    <t>rajesh.patro@alcatel-lucent.com</t>
  </si>
  <si>
    <t>Nirmala Bhat</t>
  </si>
  <si>
    <t>Altran Technologies</t>
  </si>
  <si>
    <t>080 4288 3888</t>
  </si>
  <si>
    <t>nirmala.bhat@altran.com</t>
  </si>
  <si>
    <t>Pallavi Shastri</t>
  </si>
  <si>
    <t>Bosch Limited</t>
  </si>
  <si>
    <t>shastri.pallavi@in.bosch.com</t>
  </si>
  <si>
    <t>Gayatri Kunjithaya</t>
  </si>
  <si>
    <t>Citrix Systems</t>
  </si>
  <si>
    <t>080 3954 1000</t>
  </si>
  <si>
    <t>gayatri.kunjithaya@citrix.com</t>
  </si>
  <si>
    <t>Arjun</t>
  </si>
  <si>
    <t>Edge Networks</t>
  </si>
  <si>
    <t>80 4114 8049</t>
  </si>
  <si>
    <t>arjun@edgenetworks.in;</t>
  </si>
  <si>
    <t>Rajeev Kumar</t>
  </si>
  <si>
    <t>EFI</t>
  </si>
  <si>
    <t>rajeev.kumar1@efi.com</t>
  </si>
  <si>
    <t>RAM KODI</t>
  </si>
  <si>
    <t>Global Edge</t>
  </si>
  <si>
    <t>ram.kodi@globaledge.com</t>
  </si>
  <si>
    <t>Sajeev Kumar</t>
  </si>
  <si>
    <t>GMR</t>
  </si>
  <si>
    <t>080-43269759</t>
  </si>
  <si>
    <t>sajeev@gmrgroup.co.in</t>
  </si>
  <si>
    <t>Atul Sahgal</t>
  </si>
  <si>
    <t>80 2852 0261/1 80 2553 2591</t>
  </si>
  <si>
    <t>atul_sahgal@infosys.com</t>
  </si>
  <si>
    <t>Krishna Kollicat</t>
  </si>
  <si>
    <t>Krishna_Kollicat@infosys.com</t>
  </si>
  <si>
    <t>Deepali Dani</t>
  </si>
  <si>
    <t>Intuit</t>
  </si>
  <si>
    <t>080 4176 9200</t>
  </si>
  <si>
    <t>deepali_dani@intuit.com</t>
  </si>
  <si>
    <t>Shilpatha</t>
  </si>
  <si>
    <t>Shilpatha_KC@intuit.com</t>
  </si>
  <si>
    <t>Sarwar</t>
  </si>
  <si>
    <t>Ion idea</t>
  </si>
  <si>
    <t>muhammad.sarwar@ionidea.com</t>
  </si>
  <si>
    <t xml:space="preserve">sriram A G </t>
  </si>
  <si>
    <t>Juniper networks</t>
  </si>
  <si>
    <t>080 3071 1100</t>
  </si>
  <si>
    <t>080-3071 1000</t>
  </si>
  <si>
    <t>sriramg@juniper.net</t>
  </si>
  <si>
    <t>Paripurna NS</t>
  </si>
  <si>
    <t>Manhattan Associates</t>
  </si>
  <si>
    <t>080 4041 8080</t>
  </si>
  <si>
    <t>pshankar@manh.com</t>
  </si>
  <si>
    <t>Sujata Saha</t>
  </si>
  <si>
    <t>ssaha@manh.com</t>
  </si>
  <si>
    <t>Harsha Kumar</t>
  </si>
  <si>
    <t>Mindtree  Limited</t>
  </si>
  <si>
    <t>080670 64000</t>
  </si>
  <si>
    <t>Harsha_Kumar@mindtree.com</t>
  </si>
  <si>
    <t>080 3352 5000</t>
  </si>
  <si>
    <t>080 41843000/41500251</t>
  </si>
  <si>
    <t>vijay.linus@netapp.com;</t>
  </si>
  <si>
    <t>Sheila Rodriguez</t>
  </si>
  <si>
    <t>Northern Trust</t>
  </si>
  <si>
    <t>40178559/8570</t>
  </si>
  <si>
    <t>sar6@ntrs.com</t>
  </si>
  <si>
    <t>Pradeep</t>
  </si>
  <si>
    <t>Novo Nordisk</t>
  </si>
  <si>
    <t>pradeep@novonordisk.com</t>
  </si>
  <si>
    <t>Logesh Chandramoorthy</t>
  </si>
  <si>
    <t>Nutanix</t>
  </si>
  <si>
    <t>080-69000950</t>
  </si>
  <si>
    <t>Logesh.chandra@nutanix.com</t>
  </si>
  <si>
    <t>Dennis Vincent</t>
  </si>
  <si>
    <t>Pace</t>
  </si>
  <si>
    <t>080 4340 2400</t>
  </si>
  <si>
    <t>dennis.vincent@pace.com</t>
  </si>
  <si>
    <t>Paromita Bannerjee</t>
  </si>
  <si>
    <t>Spire Technologies</t>
  </si>
  <si>
    <t>paromita.bannarjee@spire2grow.com</t>
  </si>
  <si>
    <t>Vema Radha</t>
  </si>
  <si>
    <t>UL Management</t>
  </si>
  <si>
    <t>vema.radha@ul-mgmt.com</t>
  </si>
  <si>
    <t>Rajith Kumar P.</t>
  </si>
  <si>
    <t>96866 68169</t>
  </si>
  <si>
    <t>rajithnemmara@gmail.com</t>
  </si>
  <si>
    <t>Raja Vasudevan</t>
  </si>
  <si>
    <t>ABB Limited</t>
  </si>
  <si>
    <t>Raja Vasudevan@in.abb.com</t>
  </si>
  <si>
    <t>Rajesh</t>
  </si>
  <si>
    <t xml:space="preserve">Fortuna </t>
  </si>
  <si>
    <t>rajesh@fortunaprojects.com</t>
  </si>
  <si>
    <t>Nitin Singh</t>
  </si>
  <si>
    <t>GMR Group</t>
  </si>
  <si>
    <t>9731312756/9972344773-wn</t>
  </si>
  <si>
    <t>nitin.singh@gmrgroup.in</t>
  </si>
  <si>
    <t>Balaji Kamaraj</t>
  </si>
  <si>
    <t>Happiest Minds</t>
  </si>
  <si>
    <t>080 3320 3333</t>
  </si>
  <si>
    <t>balaji.kamaraj@happiestminds.com</t>
  </si>
  <si>
    <t>Raguhnath BV</t>
  </si>
  <si>
    <t>Helios &amp; Matheson</t>
  </si>
  <si>
    <t>raguhnath.b@heliosmatheson.com</t>
  </si>
  <si>
    <t>Mahesh Medhekar</t>
  </si>
  <si>
    <t>Mercedes Benz</t>
  </si>
  <si>
    <t>mahesh.medhekar@daimler.com</t>
  </si>
  <si>
    <t xml:space="preserve">Sridhar Chilikuri </t>
  </si>
  <si>
    <t>NR Greenwood Construction Pvt. Ltd</t>
  </si>
  <si>
    <t>+91 99800 11884</t>
  </si>
  <si>
    <t>sridhar@nrgreenwoods.com</t>
  </si>
  <si>
    <t>Shashi Shekar C</t>
  </si>
  <si>
    <t>+91 99455 88755</t>
  </si>
  <si>
    <t>shashishekarc@gmail.com</t>
  </si>
  <si>
    <t>Gajendra Menon</t>
  </si>
  <si>
    <t>NTT Data</t>
  </si>
  <si>
    <t>gajendra.menon@nttdata.com</t>
  </si>
  <si>
    <t>Sanjeev Mohan</t>
  </si>
  <si>
    <t>Prathibha Jewellery House</t>
  </si>
  <si>
    <t>sanjeevmohan4488@yahoo.com</t>
  </si>
  <si>
    <t>99869 11160</t>
  </si>
  <si>
    <t>George Abraham</t>
  </si>
  <si>
    <t>Sasken Communication Technologies Limited</t>
  </si>
  <si>
    <t>george.abraham@sasken.com</t>
  </si>
  <si>
    <t>Pradeep Deshpande</t>
  </si>
  <si>
    <t>Schneider Electric</t>
  </si>
  <si>
    <t>pradeep.deshpande@schneider-electric.com</t>
  </si>
  <si>
    <t>Sujith Suman/ Rakhi</t>
  </si>
  <si>
    <t>Tecosim</t>
  </si>
  <si>
    <t>sujith.suman@tecosim.com</t>
  </si>
  <si>
    <t xml:space="preserve">Joel </t>
  </si>
  <si>
    <t>VKC Projects</t>
  </si>
  <si>
    <t>joel@vkcdevelopers.com</t>
  </si>
  <si>
    <t>Krishnaprasad</t>
  </si>
  <si>
    <t>3M India Limited</t>
  </si>
  <si>
    <t>kprasadn@mmm.com</t>
  </si>
  <si>
    <t>Sachin Mehra</t>
  </si>
  <si>
    <t>Altimetrik</t>
  </si>
  <si>
    <t>8049054400-chandan kumar</t>
  </si>
  <si>
    <t>080 4025 4343</t>
  </si>
  <si>
    <t>Sachin.mehra@altimetrik.com</t>
  </si>
  <si>
    <t>Amazon India</t>
  </si>
  <si>
    <t>Padmaja Shriram</t>
  </si>
  <si>
    <t>AT &amp; T</t>
  </si>
  <si>
    <t>080-43546001/ 9740977155</t>
  </si>
  <si>
    <t>padmaja.sriram@intl.att.com</t>
  </si>
  <si>
    <t>Bipin/ Jitin Marketing</t>
  </si>
  <si>
    <t>BCD Travels</t>
  </si>
  <si>
    <t>bipin.pansari@bcdtravel.com</t>
  </si>
  <si>
    <t>Ranjit Jose</t>
  </si>
  <si>
    <t>Britannia Industries Limited</t>
  </si>
  <si>
    <t>ranjitjose@britindia.com</t>
  </si>
  <si>
    <t>Capgemini</t>
  </si>
  <si>
    <t>Shafi  Rehman</t>
  </si>
  <si>
    <t>Career Access</t>
  </si>
  <si>
    <t>+91 95389 84419</t>
  </si>
  <si>
    <t>shafi@careeraccess.in</t>
  </si>
  <si>
    <t>Shilpa Amaan</t>
  </si>
  <si>
    <t>+91 99020 58515</t>
  </si>
  <si>
    <t>shilpa@careeraccess.in</t>
  </si>
  <si>
    <t>Siddharth Verma</t>
  </si>
  <si>
    <t>+91 96111 28931</t>
  </si>
  <si>
    <t>siddharth@careeraccess.in</t>
  </si>
  <si>
    <t>Mitchell Dudani</t>
  </si>
  <si>
    <t>Coffee Day</t>
  </si>
  <si>
    <t>mitchell.dudani@coffeeday.com</t>
  </si>
  <si>
    <t>Udaya Kanth Reddy N</t>
  </si>
  <si>
    <t xml:space="preserve">Cyient </t>
  </si>
  <si>
    <t>080 2518 6000 - 6037</t>
  </si>
  <si>
    <t>uday.narla@cyient.com</t>
  </si>
  <si>
    <t>Vandana Bellur</t>
  </si>
  <si>
    <t>Dell</t>
  </si>
  <si>
    <t>vandana_bellur@Dell.com</t>
  </si>
  <si>
    <t>Arvind</t>
  </si>
  <si>
    <t>arvind.rao@edgenetworks.in</t>
  </si>
  <si>
    <t>EMC Software</t>
  </si>
  <si>
    <t>sreejay.puthiyapurayil@emc.com</t>
  </si>
  <si>
    <t>GE India</t>
  </si>
  <si>
    <t>Mrinalini Nayak</t>
  </si>
  <si>
    <t>Phani raja</t>
  </si>
  <si>
    <t>hr manager</t>
  </si>
  <si>
    <t>phanir@arvindbrands.com</t>
  </si>
  <si>
    <t>Nihar Gundumalla</t>
  </si>
  <si>
    <t>Sakethnath</t>
  </si>
  <si>
    <t>Misys</t>
  </si>
  <si>
    <t>saket.uv@misys.com</t>
  </si>
  <si>
    <t>spadmanabhan@novell.com</t>
  </si>
  <si>
    <t>Neha Agarwal</t>
  </si>
  <si>
    <t>NTT Data Limited</t>
  </si>
  <si>
    <t>neha.agarwal@nttdata.com</t>
  </si>
  <si>
    <t>Ranjana Anand</t>
  </si>
  <si>
    <t>Optimal Strategix Group</t>
  </si>
  <si>
    <t>9900093477/08049144305</t>
  </si>
  <si>
    <t>ranjana.anand@optimalstrategix.com</t>
  </si>
  <si>
    <t xml:space="preserve">Divya S N </t>
  </si>
  <si>
    <t>Recruitment - leadership hiring</t>
  </si>
  <si>
    <t>Divya.SN@trianz.com</t>
  </si>
  <si>
    <t>Redbus</t>
  </si>
  <si>
    <t>Anupam Srivastava</t>
  </si>
  <si>
    <t>Rovi Corporation</t>
  </si>
  <si>
    <t>anupam.srivastava@rovicorp.com</t>
  </si>
  <si>
    <t>Jnanesh Kumar</t>
  </si>
  <si>
    <t>Sales Force</t>
  </si>
  <si>
    <t xml:space="preserve"> 080 6720 5303</t>
  </si>
  <si>
    <t>jnanesh.kumar@salesforce.com</t>
  </si>
  <si>
    <t>Sandeep Hoysal</t>
  </si>
  <si>
    <t>Teamlease</t>
  </si>
  <si>
    <t>sandeep.hoysal@teamlease.com</t>
  </si>
  <si>
    <t>Nitish Shrivastava</t>
  </si>
  <si>
    <t>Geetika Mehta</t>
  </si>
  <si>
    <t>Urban Ladder</t>
  </si>
  <si>
    <t>geetika@urbanladder.com</t>
  </si>
  <si>
    <t>Namita Vyas</t>
  </si>
  <si>
    <t>Inmobi</t>
  </si>
  <si>
    <t>080-65834445</t>
  </si>
  <si>
    <t>namita.vyas@inmobi.com</t>
  </si>
  <si>
    <t>Joe Lavar</t>
  </si>
  <si>
    <t>Analog Devices</t>
  </si>
  <si>
    <t>Cognizant Technology Solutions</t>
  </si>
  <si>
    <t>Rashmi Narayan</t>
  </si>
  <si>
    <t>Motorola</t>
  </si>
  <si>
    <t>rashmi.naryan@motorolasolutions.com</t>
  </si>
  <si>
    <t>Prem nair</t>
  </si>
  <si>
    <t>Toshiba</t>
  </si>
  <si>
    <t>prem.nair@toshiba-tsip.com</t>
  </si>
  <si>
    <t>Balachandar N</t>
  </si>
  <si>
    <t>balachandar.n@coffeeday.com</t>
  </si>
  <si>
    <t>Thomas</t>
  </si>
  <si>
    <t>First source</t>
  </si>
  <si>
    <t>thomas.kuruvila@firstsource.com</t>
  </si>
  <si>
    <t>Krishan Bhagavan</t>
  </si>
  <si>
    <t>Motorola Solutions</t>
  </si>
  <si>
    <t>kvg386@motorolasolutions.com</t>
  </si>
  <si>
    <t>Asgar Pasha</t>
  </si>
  <si>
    <t>99000 55385</t>
  </si>
  <si>
    <t>pasha@nrgreenwoods.com</t>
  </si>
  <si>
    <t>Ganesh Ram</t>
  </si>
  <si>
    <t>Marlabs</t>
  </si>
  <si>
    <t>9731700448-dne</t>
  </si>
  <si>
    <t>80-67229400 / 700</t>
  </si>
  <si>
    <t>ganesh.ram@marlabs.com</t>
  </si>
  <si>
    <t>Arpit Garg</t>
  </si>
  <si>
    <t>Sarvana</t>
  </si>
  <si>
    <t>DSR Infra</t>
  </si>
  <si>
    <t>Saravanak@dsrinfra.com</t>
  </si>
  <si>
    <t>Satish m</t>
  </si>
  <si>
    <t>Arupa Khera</t>
  </si>
  <si>
    <t>Iftekhar Baig</t>
  </si>
  <si>
    <t>Mediatek</t>
  </si>
  <si>
    <t>iftekhar.baig@mediatek.com</t>
  </si>
  <si>
    <t>Shantanu Chakraborthy</t>
  </si>
  <si>
    <t>24/7 Inc</t>
  </si>
  <si>
    <t>shantanu.chakraborthy@247-inc.com</t>
  </si>
  <si>
    <t>Adobe Systems India Pvt Ltd</t>
  </si>
  <si>
    <t>80 41939500</t>
  </si>
  <si>
    <t>Lakshmi Suresh</t>
  </si>
  <si>
    <t>Agila</t>
  </si>
  <si>
    <t>lakshmi.s@agila.in</t>
  </si>
  <si>
    <t>Hitler Carvalho</t>
  </si>
  <si>
    <t>080-6616 2007</t>
  </si>
  <si>
    <t>Amadeus Software Labs India Private Limited</t>
  </si>
  <si>
    <t>Preeti Rajora</t>
  </si>
  <si>
    <t>080 3327 3000</t>
  </si>
  <si>
    <t>Sowmya</t>
  </si>
  <si>
    <t>Rajendra</t>
  </si>
  <si>
    <t>Aptean</t>
  </si>
  <si>
    <t>9880004252  </t>
  </si>
  <si>
    <t>rajendra@aptean.com</t>
  </si>
  <si>
    <t>Siddhartha Das</t>
  </si>
  <si>
    <t>Arctern</t>
  </si>
  <si>
    <t>siddharth.das@arctern.com</t>
  </si>
  <si>
    <t>ARM Embedded Technologies Private Limited</t>
  </si>
  <si>
    <t>Swapna Nair</t>
  </si>
  <si>
    <t>Bally Technologies</t>
  </si>
  <si>
    <t>swapna@in.bally.com</t>
  </si>
  <si>
    <t>Teena D'souza</t>
  </si>
  <si>
    <t>Bharti AXA</t>
  </si>
  <si>
    <t>teena.dsouza@bhartiaxa.com</t>
  </si>
  <si>
    <t>Pradeep Varghese</t>
  </si>
  <si>
    <t>080-28082808/40144014</t>
  </si>
  <si>
    <t>pradeep.varghese@biocon.com</t>
  </si>
  <si>
    <t>Seema Ahuja</t>
  </si>
  <si>
    <t xml:space="preserve">080 -28082220 </t>
  </si>
  <si>
    <t>seema.ahuja@biocon.com</t>
  </si>
  <si>
    <t>Jagan Mohan</t>
  </si>
  <si>
    <t>Brigade Group</t>
  </si>
  <si>
    <t>9740013035-wn</t>
  </si>
  <si>
    <t>080 4137 9200</t>
  </si>
  <si>
    <t>jagan.mohan@brigadegroup.com</t>
  </si>
  <si>
    <t>Janice</t>
  </si>
  <si>
    <t>janice@broadcom.com</t>
  </si>
  <si>
    <t>Jiju George</t>
  </si>
  <si>
    <t>Sharmista Deb</t>
  </si>
  <si>
    <t>080-04401901</t>
  </si>
  <si>
    <t>Sharmista.Deb@ca.com</t>
  </si>
  <si>
    <t xml:space="preserve">Jeyadev Parthasarathy </t>
  </si>
  <si>
    <t>99994 95950</t>
  </si>
  <si>
    <t>jeyadev@careeraccess.in</t>
  </si>
  <si>
    <t>Priya Manaval</t>
  </si>
  <si>
    <t>Cisco Systems</t>
  </si>
  <si>
    <t>99723098144-wn/</t>
  </si>
  <si>
    <t>080 4159 3000</t>
  </si>
  <si>
    <t>080-44260000/80-41822000</t>
  </si>
  <si>
    <t>pmanaval@cisco.com</t>
  </si>
  <si>
    <t>Suvro Raychaudhuri</t>
  </si>
  <si>
    <t>Controller Human Resources</t>
  </si>
  <si>
    <t>suvro@ubmail.com</t>
  </si>
  <si>
    <t>Satya Narayana Reddy</t>
  </si>
  <si>
    <t>kssreddy@dsrinfra.com</t>
  </si>
  <si>
    <t>Mohan Jayaram</t>
  </si>
  <si>
    <t>eBay/Paypal</t>
  </si>
  <si>
    <t xml:space="preserve">(044) 66348000 66348001 </t>
  </si>
  <si>
    <t>Call Chennai &amp; take Blr No</t>
  </si>
  <si>
    <t>mjayaram@paypal.com</t>
  </si>
  <si>
    <t>Gavin Desouza</t>
  </si>
  <si>
    <t>gavin.desouza@emids.com</t>
  </si>
  <si>
    <t>080-66916000, 40126500</t>
  </si>
  <si>
    <t>Ganesh Subramanian</t>
  </si>
  <si>
    <t>Hindustan Unilever Ltd</t>
  </si>
  <si>
    <t>080-66470001</t>
  </si>
  <si>
    <t>ganesh.subramanian@unilever.com</t>
  </si>
  <si>
    <t>Deepank Jain</t>
  </si>
  <si>
    <t>Honeywell</t>
  </si>
  <si>
    <t>deepank.jain@honeywell.com</t>
  </si>
  <si>
    <t>IMS Health</t>
  </si>
  <si>
    <t>Kevin Freitas</t>
  </si>
  <si>
    <t>InMobi</t>
  </si>
  <si>
    <t>kevin.freitas@gmail.com</t>
  </si>
  <si>
    <t>kevin.freitas@inmobi.com</t>
  </si>
  <si>
    <t>Nandika Pradeep</t>
  </si>
  <si>
    <t>nandika.pradeep@inmobi.com</t>
  </si>
  <si>
    <t>Charu Malik</t>
  </si>
  <si>
    <t>080-26055252, 26053000</t>
  </si>
  <si>
    <t>charu.malik@intel.com'</t>
  </si>
  <si>
    <t>Intel Security</t>
  </si>
  <si>
    <t>Pooja Tripathi</t>
  </si>
  <si>
    <t>pooja@urbanladder.com</t>
  </si>
  <si>
    <t>Kuldeep Mamgain</t>
  </si>
  <si>
    <t>kuldeep@flipkart.com</t>
  </si>
  <si>
    <t>Jeyandran Chandrasekaran</t>
  </si>
  <si>
    <t>Thermo Fisher</t>
  </si>
  <si>
    <t>jeyandran.c@thermofisher.com</t>
  </si>
  <si>
    <t>Suruchi Jajoo</t>
  </si>
  <si>
    <t>suruchi@urbanladder.com</t>
  </si>
  <si>
    <t>Ritesh Rana</t>
  </si>
  <si>
    <t>RITESHR@BRITINDIA.COM</t>
  </si>
  <si>
    <t>Prasad Menon</t>
  </si>
  <si>
    <t>prasad.menon@flipkart.com</t>
  </si>
  <si>
    <t>Vinod Mankala</t>
  </si>
  <si>
    <t>Bhoomi Vyas</t>
  </si>
  <si>
    <t>MEC Global</t>
  </si>
  <si>
    <t>Vizury</t>
  </si>
  <si>
    <t>pradeep.pg@vizury.com</t>
  </si>
  <si>
    <t>Flipkart</t>
  </si>
  <si>
    <t>rashmi.jha@in.yokogawa.com</t>
  </si>
  <si>
    <t>Rashmi Jha</t>
  </si>
  <si>
    <t>rashid</t>
  </si>
  <si>
    <t>Britannia</t>
  </si>
  <si>
    <t>Sarbjit Kaur</t>
  </si>
  <si>
    <t>Head of Employee Engagement</t>
  </si>
  <si>
    <t>skaur@britindia.com</t>
  </si>
  <si>
    <t>Capillary Technologies</t>
  </si>
  <si>
    <t>Keerthi Kariyappa</t>
  </si>
  <si>
    <t>Kaustabh Chakraborthy (IIM L)</t>
  </si>
  <si>
    <t>kaustabh@urbanladder.com</t>
  </si>
  <si>
    <t xml:space="preserve">Vinod.m@flipkart.com </t>
  </si>
  <si>
    <t>Amit Vasishta</t>
  </si>
  <si>
    <t>Groupon</t>
  </si>
  <si>
    <t>Ankur Wariko</t>
  </si>
  <si>
    <t>Ayush Sinha</t>
  </si>
  <si>
    <t>Mantri</t>
  </si>
  <si>
    <t>mathworks</t>
  </si>
  <si>
    <t>jordan</t>
  </si>
  <si>
    <t>omega health care</t>
  </si>
  <si>
    <t>Guruvayurappan PV</t>
  </si>
  <si>
    <t>080-41557333</t>
  </si>
  <si>
    <t>guruvayurappan.v@omegahms.com</t>
  </si>
  <si>
    <t>Interra Systems</t>
  </si>
  <si>
    <t>V .Chaitanya Prabhu</t>
  </si>
  <si>
    <t>cprabhu@interrasystems.com</t>
  </si>
  <si>
    <t>Toshiba Software India Private Limited</t>
  </si>
  <si>
    <t>Prem Nair</t>
  </si>
  <si>
    <t>prem.nair@toshiba-tesi.com</t>
  </si>
  <si>
    <t>#3A, ESSAE VAISHNAVI SOLITAIRE</t>
  </si>
  <si>
    <t>Perry Johnson Outsoucing pvt Ltd</t>
  </si>
  <si>
    <t>Sunil Kumar</t>
  </si>
  <si>
    <t>avincent@pjats.com</t>
  </si>
  <si>
    <t>No 50 3rd Floor (above karnataka bank)</t>
  </si>
  <si>
    <t>Altair Engineering India Pvt Ltd</t>
  </si>
  <si>
    <t>Siju Abraham</t>
  </si>
  <si>
    <t>siju.abraham@altair.com</t>
  </si>
  <si>
    <t>Invensis Technologies Pvt Ltd</t>
  </si>
  <si>
    <t>raj shekhar</t>
  </si>
  <si>
    <t>sapana.sharma@invensis.net</t>
  </si>
  <si>
    <t>34/1, R.V. Road,</t>
  </si>
  <si>
    <t>Genesis Computer Centre</t>
  </si>
  <si>
    <t>Victor</t>
  </si>
  <si>
    <t>victor@genesis.com</t>
  </si>
  <si>
    <t>Timken Engineering and Research - India (P) Ltd.</t>
  </si>
  <si>
    <t>anita.saldanha@timken.com</t>
  </si>
  <si>
    <t>39-42, Electronic City, Phase II, Hosur Road</t>
  </si>
  <si>
    <t>GalaxE Solutions</t>
  </si>
  <si>
    <t>S No</t>
  </si>
  <si>
    <t>Name of Client</t>
  </si>
  <si>
    <t>Formac Software</t>
  </si>
  <si>
    <t>Grey Matter</t>
  </si>
  <si>
    <t>Widas Concepts</t>
  </si>
  <si>
    <t>Metric Stream</t>
  </si>
  <si>
    <t>Xentrix</t>
  </si>
  <si>
    <t>Phone Number</t>
  </si>
  <si>
    <t>Email ID</t>
  </si>
  <si>
    <t>Important Account</t>
  </si>
  <si>
    <r>
      <t xml:space="preserve">Database, </t>
    </r>
    <r>
      <rPr>
        <b/>
        <sz val="11"/>
        <color rgb="FF000000"/>
        <rFont val="Calibri"/>
        <family val="2"/>
      </rPr>
      <t>Events</t>
    </r>
    <r>
      <rPr>
        <sz val="11"/>
        <color rgb="FF000000"/>
        <rFont val="Calibri"/>
      </rPr>
      <t>, Internal Sourcing</t>
    </r>
  </si>
  <si>
    <t>MetricStream</t>
  </si>
  <si>
    <t>FB Page</t>
  </si>
  <si>
    <t>FB Page, Client Himself has Called</t>
  </si>
  <si>
    <t>Incadia</t>
  </si>
  <si>
    <t>Nilakshi Dhole</t>
  </si>
  <si>
    <t>Kunal</t>
  </si>
  <si>
    <t>Rahul</t>
  </si>
  <si>
    <t>SLK software</t>
  </si>
  <si>
    <t>Biocon</t>
  </si>
  <si>
    <t>Mahindra reva</t>
  </si>
  <si>
    <t xml:space="preserve">Ness </t>
  </si>
  <si>
    <t>Alti source</t>
  </si>
  <si>
    <t>Raghavendra</t>
  </si>
  <si>
    <t xml:space="preserve">IBM </t>
  </si>
  <si>
    <t>26/4/2017</t>
  </si>
  <si>
    <t>Company Name</t>
  </si>
  <si>
    <t>Date</t>
  </si>
  <si>
    <t xml:space="preserve">Contact Person </t>
  </si>
  <si>
    <t>25/4/2017</t>
  </si>
  <si>
    <t>PruthviRaj</t>
  </si>
  <si>
    <t>Namitha/Chakanna</t>
  </si>
  <si>
    <t>Contact Number</t>
  </si>
  <si>
    <t xml:space="preserve">Bhilwara </t>
  </si>
  <si>
    <t>Somashekhar</t>
  </si>
  <si>
    <t>Britania</t>
  </si>
  <si>
    <t>Monarch Limaye</t>
  </si>
  <si>
    <t>7349288010/9741440394</t>
  </si>
  <si>
    <t>Machaiya/ shekhar/ Balaji</t>
  </si>
  <si>
    <t>Jayendra chandrasekhar</t>
  </si>
  <si>
    <t>Vinod M</t>
  </si>
  <si>
    <t>Guruvayurappan</t>
  </si>
  <si>
    <t>Oemga health care</t>
  </si>
  <si>
    <t>V. chaitanya prabu</t>
  </si>
  <si>
    <t>not picking</t>
  </si>
  <si>
    <t>Genesys</t>
  </si>
  <si>
    <t>AXA</t>
  </si>
  <si>
    <t>ITC</t>
  </si>
  <si>
    <t>TCS</t>
  </si>
  <si>
    <t>3I infotech</t>
  </si>
  <si>
    <t>Microland</t>
  </si>
  <si>
    <t>bhooma.vyas@mecglobal.com</t>
  </si>
  <si>
    <t xml:space="preserve">number doesn’t exist </t>
  </si>
  <si>
    <t>not found</t>
  </si>
  <si>
    <t>Anil</t>
  </si>
  <si>
    <t>doesn’t exist</t>
  </si>
  <si>
    <t>TEKsystems allegis</t>
  </si>
  <si>
    <t>Thomson reuters</t>
  </si>
  <si>
    <t>Rex michel</t>
  </si>
  <si>
    <t>not the concerned person</t>
  </si>
  <si>
    <t>Nirmala bhat</t>
  </si>
  <si>
    <t>Altran technologies</t>
  </si>
  <si>
    <t>don’t call back</t>
  </si>
  <si>
    <t>check the number</t>
  </si>
  <si>
    <t>very dude, disconnected</t>
  </si>
  <si>
    <t>ramachandra.kodi@valtech.co.in</t>
  </si>
  <si>
    <t>Valtech</t>
  </si>
  <si>
    <t>Ramachadra</t>
  </si>
  <si>
    <t>ramachandra.kodi @valtech.co.in</t>
  </si>
  <si>
    <t>old number</t>
  </si>
  <si>
    <t>not concerened person,disconnected</t>
  </si>
  <si>
    <t>number disconnected</t>
  </si>
  <si>
    <t>sits in delhi,not concerned peson</t>
  </si>
  <si>
    <t>ABB India</t>
  </si>
  <si>
    <t>Assessments Sold</t>
  </si>
  <si>
    <t>Renewals</t>
  </si>
  <si>
    <t>UST - 1500</t>
  </si>
  <si>
    <t>L &amp; T - 250</t>
  </si>
  <si>
    <t>Allianz - 1200</t>
  </si>
  <si>
    <t>Sigma - 150</t>
  </si>
  <si>
    <t>Acadgild - 500</t>
  </si>
  <si>
    <t>Wipro - 100</t>
  </si>
  <si>
    <t>Firmnext - 1000</t>
  </si>
  <si>
    <t>Yaxis - 500</t>
  </si>
  <si>
    <t>Cryptograph - 100</t>
  </si>
  <si>
    <t xml:space="preserve">Total </t>
  </si>
  <si>
    <t>SAM ACCOUNTS - 1</t>
  </si>
  <si>
    <t>AT&amp;T</t>
  </si>
  <si>
    <t>BT</t>
  </si>
  <si>
    <t>VERIZON</t>
  </si>
  <si>
    <t>TCL</t>
  </si>
  <si>
    <t>NETMAGIC/NTT</t>
  </si>
  <si>
    <t>VODAFONE</t>
  </si>
  <si>
    <t>ORANGE</t>
  </si>
  <si>
    <t>HFCL</t>
  </si>
  <si>
    <t>DELL</t>
  </si>
  <si>
    <t>L&amp;T</t>
  </si>
  <si>
    <t>INFOSYS</t>
  </si>
  <si>
    <t>HCL</t>
  </si>
  <si>
    <t>GSIs</t>
  </si>
  <si>
    <t>SIFY</t>
  </si>
  <si>
    <t>GENPACT</t>
  </si>
  <si>
    <t>ILFS</t>
  </si>
  <si>
    <t>BHARTI AIRTEL</t>
  </si>
  <si>
    <t>SAM ACCOUNTS - 2</t>
  </si>
  <si>
    <t>Wipro</t>
  </si>
  <si>
    <t>Dimension Data</t>
  </si>
  <si>
    <t>Hitachi Microclinic</t>
  </si>
  <si>
    <t>Capgemini / I gate</t>
  </si>
  <si>
    <t>WWT</t>
  </si>
  <si>
    <t>Tech Mahindra</t>
  </si>
  <si>
    <t>AGC</t>
  </si>
  <si>
    <t>Reliance Group</t>
  </si>
  <si>
    <t>Shapoorji/STERLING</t>
  </si>
  <si>
    <t>TATA ELXSI</t>
  </si>
  <si>
    <t>SUTHERLAND</t>
  </si>
  <si>
    <t>POLARIS</t>
  </si>
  <si>
    <t>EXL</t>
  </si>
  <si>
    <t>NEW ACCOUNTS</t>
  </si>
  <si>
    <t>UST GLOBAL</t>
  </si>
  <si>
    <t>PROJECT 30,000</t>
  </si>
  <si>
    <t>L &amp; T</t>
  </si>
  <si>
    <t>Total</t>
  </si>
  <si>
    <t xml:space="preserve">Capgemini </t>
  </si>
  <si>
    <t>Fiserv</t>
  </si>
  <si>
    <t xml:space="preserve">L &amp; T </t>
  </si>
  <si>
    <t>Sub Total</t>
  </si>
  <si>
    <t>Virtusa Polaris</t>
  </si>
  <si>
    <t>IIHT</t>
  </si>
  <si>
    <t>ARICENT</t>
  </si>
  <si>
    <t xml:space="preserve">BT </t>
  </si>
  <si>
    <t>HUAWEI</t>
  </si>
  <si>
    <t>VINCYS</t>
  </si>
  <si>
    <t>ALCHEMY</t>
  </si>
  <si>
    <t>BASTIAN</t>
  </si>
  <si>
    <t>MANJUNATH</t>
  </si>
  <si>
    <t>ICFAI</t>
  </si>
  <si>
    <t>NEW HORIZON COLLEGE</t>
  </si>
  <si>
    <t>24@7</t>
  </si>
  <si>
    <t>Shamkant</t>
  </si>
  <si>
    <t>infosys</t>
  </si>
  <si>
    <t>Saroj</t>
  </si>
  <si>
    <t>dheena 28082808</t>
  </si>
  <si>
    <t>raghunath.bv@ikyaglobal.com</t>
  </si>
  <si>
    <t>satish.manne@congnizant.com, june contact</t>
  </si>
  <si>
    <t>mail sent</t>
  </si>
  <si>
    <t>positions end of june</t>
  </si>
  <si>
    <t>first week of july</t>
  </si>
  <si>
    <t>11 am call bck</t>
  </si>
  <si>
    <t>disconnected</t>
  </si>
  <si>
    <t>call in half nhr</t>
  </si>
  <si>
    <t>ravindranath.barrey@cyient</t>
  </si>
  <si>
    <t>not reachable</t>
  </si>
  <si>
    <t>sudarshan</t>
  </si>
  <si>
    <t>sudharsan.n@edgenetworks.in</t>
  </si>
  <si>
    <t>sunpharma.com</t>
  </si>
  <si>
    <t>sunpharma</t>
  </si>
  <si>
    <t>busy, call back</t>
  </si>
  <si>
    <t>Wednesday</t>
  </si>
  <si>
    <t>next week</t>
  </si>
  <si>
    <t xml:space="preserve">26th </t>
  </si>
  <si>
    <t>richa trainings</t>
  </si>
  <si>
    <t>After june</t>
  </si>
  <si>
    <t>meeting call back</t>
  </si>
  <si>
    <t>lakshmi</t>
  </si>
  <si>
    <t>not the right person</t>
  </si>
  <si>
    <t>call back</t>
  </si>
  <si>
    <t>July bhavesh.patel@janalakshmi.com</t>
  </si>
  <si>
    <t>call up on Wednesday</t>
  </si>
  <si>
    <t>dimension data</t>
  </si>
  <si>
    <t>marita.dsantos@myntra.com</t>
  </si>
  <si>
    <t>L@D head</t>
  </si>
  <si>
    <t>pragya.j@samsung.com sudheer.g@samsung.com kanchan.2017@partner.samsung.com</t>
  </si>
  <si>
    <t>sudeep mishra 9845368595</t>
  </si>
  <si>
    <t>switched off</t>
  </si>
  <si>
    <t>not ringing</t>
  </si>
  <si>
    <t>september october</t>
  </si>
  <si>
    <t>wrong number</t>
  </si>
  <si>
    <t xml:space="preserve">globally </t>
  </si>
  <si>
    <t>not looking at any as of now</t>
  </si>
  <si>
    <t>ranjana@96@yahoo.com</t>
  </si>
  <si>
    <t>sept oct 1</t>
  </si>
  <si>
    <t>call back, tomorrow</t>
  </si>
  <si>
    <t>wrong person</t>
  </si>
  <si>
    <t xml:space="preserve"> not picking</t>
  </si>
  <si>
    <t>call back in 10 mins</t>
  </si>
  <si>
    <t>not contacted</t>
  </si>
  <si>
    <t>srina</t>
  </si>
  <si>
    <t>libin.thomas@all</t>
  </si>
  <si>
    <t>libin</t>
  </si>
  <si>
    <t>chodistpty</t>
  </si>
  <si>
    <t xml:space="preserve">send mail, next week </t>
  </si>
  <si>
    <t>sharmeen trainings</t>
  </si>
  <si>
    <t>ritesh</t>
  </si>
  <si>
    <t>no</t>
  </si>
  <si>
    <t>hacker earth</t>
  </si>
  <si>
    <t>Dec</t>
  </si>
  <si>
    <t>nitish.shrivastava@magnitude</t>
  </si>
  <si>
    <t>karthik gopalan</t>
  </si>
  <si>
    <t>give a call in 2 weeks from 30th</t>
  </si>
  <si>
    <t>arvind.sharma@</t>
  </si>
  <si>
    <t>busy , call back</t>
  </si>
  <si>
    <t>lisa_tan@zmat.com</t>
  </si>
  <si>
    <t xml:space="preserve">                                                                                            </t>
  </si>
  <si>
    <t>Vinay john L &amp; D</t>
  </si>
  <si>
    <t>Call landline</t>
  </si>
  <si>
    <t>sagar.raina@makemytrip.in</t>
  </si>
  <si>
    <t>ge, contact next week , wanna meet</t>
  </si>
  <si>
    <t>august</t>
  </si>
  <si>
    <t>sanjay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</si>
</sst>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  <font>
      <sz val="10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FF"/>
      <name val="Calibri"/>
      <family val="2"/>
    </font>
    <font>
      <sz val="11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33333"/>
      <name val="Arial"/>
      <family val="2"/>
    </font>
    <font>
      <sz val="11"/>
      <color indexed="8"/>
      <name val="Calibri"/>
      <family val="2"/>
    </font>
    <font>
      <sz val="10"/>
      <color rgb="FF0072C6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0"/>
      <name val="Arial"/>
      <family val="2"/>
    </font>
    <font>
      <sz val="10"/>
      <color rgb="FF424242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color rgb="FFFF0000"/>
      <name val="Verdana"/>
      <family val="2"/>
    </font>
    <font>
      <sz val="8"/>
      <color rgb="FF000000"/>
      <name val="Verdana"/>
      <family val="2"/>
    </font>
    <font>
      <b/>
      <sz val="11"/>
      <color rgb="FF000000"/>
      <name val="Calibri"/>
      <family val="2"/>
    </font>
    <font>
      <u/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sz val="11"/>
      <color indexed="12"/>
      <name val="Cambria"/>
      <family val="1"/>
      <scheme val="major"/>
    </font>
    <font>
      <sz val="11"/>
      <color indexed="63"/>
      <name val="Cambria"/>
      <family val="1"/>
      <scheme val="major"/>
    </font>
    <font>
      <sz val="11"/>
      <color indexed="23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color rgb="FF932192"/>
      <name val="Cambria"/>
      <family val="1"/>
      <scheme val="major"/>
    </font>
    <font>
      <b/>
      <sz val="11"/>
      <color rgb="FF932192"/>
      <name val="Cambria"/>
      <family val="1"/>
      <scheme val="major"/>
    </font>
    <font>
      <u/>
      <sz val="11"/>
      <color rgb="FF0000FF"/>
      <name val="Cambria"/>
      <family val="1"/>
      <scheme val="major"/>
    </font>
    <font>
      <b/>
      <sz val="11"/>
      <color rgb="FF800080"/>
      <name val="Cambria"/>
      <family val="1"/>
      <scheme val="major"/>
    </font>
    <font>
      <sz val="11"/>
      <color indexed="56"/>
      <name val="Cambria"/>
      <family val="1"/>
      <scheme val="major"/>
    </font>
    <font>
      <sz val="11"/>
      <color rgb="FF800080"/>
      <name val="Cambria"/>
      <family val="1"/>
      <scheme val="major"/>
    </font>
    <font>
      <u/>
      <sz val="11"/>
      <color theme="10"/>
      <name val="Cambria"/>
      <family val="1"/>
      <scheme val="major"/>
    </font>
    <font>
      <u/>
      <sz val="11"/>
      <name val="Cambria"/>
      <family val="1"/>
      <scheme val="maj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1"/>
      <color rgb="FFFF0000"/>
      <name val="Cambria"/>
      <family val="1"/>
      <scheme val="major"/>
    </font>
    <font>
      <u/>
      <sz val="11"/>
      <color theme="1"/>
      <name val="Cambria"/>
      <family val="1"/>
      <scheme val="major"/>
    </font>
    <font>
      <u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FF0000"/>
      </patternFill>
    </fill>
    <fill>
      <patternFill patternType="solid">
        <fgColor rgb="FFFF0000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">
    <xf numFmtId="0" fontId="0" fillId="0" borderId="0"/>
    <xf numFmtId="0" fontId="19" fillId="0" borderId="0" applyNumberFormat="0" applyFill="0" applyBorder="0" applyAlignment="0" applyProtection="0"/>
    <xf numFmtId="0" fontId="33" fillId="0" borderId="0"/>
    <xf numFmtId="0" fontId="36" fillId="0" borderId="0"/>
  </cellStyleXfs>
  <cellXfs count="467">
    <xf numFmtId="0" fontId="0" fillId="0" borderId="0" xfId="0" applyFont="1" applyAlignment="1"/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0" fillId="0" borderId="2" xfId="0" applyFont="1" applyBorder="1"/>
    <xf numFmtId="0" fontId="14" fillId="0" borderId="2" xfId="0" applyFont="1" applyBorder="1"/>
    <xf numFmtId="0" fontId="0" fillId="0" borderId="3" xfId="0" applyFont="1" applyBorder="1"/>
    <xf numFmtId="0" fontId="14" fillId="0" borderId="3" xfId="0" applyFont="1" applyBorder="1"/>
    <xf numFmtId="0" fontId="6" fillId="0" borderId="3" xfId="0" applyFont="1" applyBorder="1"/>
    <xf numFmtId="0" fontId="0" fillId="0" borderId="0" xfId="0" applyFont="1"/>
    <xf numFmtId="0" fontId="14" fillId="0" borderId="0" xfId="0" applyFont="1"/>
    <xf numFmtId="0" fontId="6" fillId="0" borderId="0" xfId="0" applyFont="1"/>
    <xf numFmtId="0" fontId="5" fillId="4" borderId="2" xfId="0" applyFont="1" applyFill="1" applyBorder="1" applyAlignment="1">
      <alignment horizontal="left" wrapText="1"/>
    </xf>
    <xf numFmtId="0" fontId="6" fillId="4" borderId="2" xfId="0" applyFont="1" applyFill="1" applyBorder="1" applyAlignment="1">
      <alignment horizontal="left" wrapText="1"/>
    </xf>
    <xf numFmtId="0" fontId="10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 wrapText="1"/>
    </xf>
    <xf numFmtId="0" fontId="6" fillId="6" borderId="2" xfId="0" applyFont="1" applyFill="1" applyBorder="1" applyAlignment="1">
      <alignment horizontal="left" wrapText="1"/>
    </xf>
    <xf numFmtId="0" fontId="11" fillId="6" borderId="2" xfId="0" applyFont="1" applyFill="1" applyBorder="1" applyAlignment="1">
      <alignment horizontal="left" wrapText="1"/>
    </xf>
    <xf numFmtId="0" fontId="6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6" fillId="5" borderId="2" xfId="0" applyFont="1" applyFill="1" applyBorder="1" applyAlignment="1">
      <alignment horizontal="left" wrapText="1"/>
    </xf>
    <xf numFmtId="0" fontId="12" fillId="5" borderId="2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 wrapText="1"/>
    </xf>
    <xf numFmtId="0" fontId="6" fillId="7" borderId="2" xfId="0" applyFont="1" applyFill="1" applyBorder="1" applyAlignment="1">
      <alignment horizontal="left" wrapText="1"/>
    </xf>
    <xf numFmtId="0" fontId="13" fillId="7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0" fillId="6" borderId="2" xfId="0" applyFont="1" applyFill="1" applyBorder="1" applyAlignment="1">
      <alignment horizontal="left"/>
    </xf>
    <xf numFmtId="0" fontId="14" fillId="6" borderId="2" xfId="0" applyFont="1" applyFill="1" applyBorder="1" applyAlignment="1">
      <alignment horizontal="left"/>
    </xf>
    <xf numFmtId="0" fontId="15" fillId="5" borderId="2" xfId="0" applyFont="1" applyFill="1" applyBorder="1" applyAlignment="1">
      <alignment horizontal="left" wrapText="1"/>
    </xf>
    <xf numFmtId="0" fontId="4" fillId="7" borderId="2" xfId="0" applyFont="1" applyFill="1" applyBorder="1" applyAlignment="1">
      <alignment horizontal="left" wrapText="1"/>
    </xf>
    <xf numFmtId="0" fontId="9" fillId="6" borderId="2" xfId="0" applyFont="1" applyFill="1" applyBorder="1" applyAlignment="1">
      <alignment horizontal="left" wrapText="1"/>
    </xf>
    <xf numFmtId="0" fontId="16" fillId="6" borderId="2" xfId="0" applyFont="1" applyFill="1" applyBorder="1"/>
    <xf numFmtId="0" fontId="6" fillId="6" borderId="2" xfId="0" applyFont="1" applyFill="1" applyBorder="1"/>
    <xf numFmtId="0" fontId="5" fillId="8" borderId="2" xfId="0" applyFont="1" applyFill="1" applyBorder="1" applyAlignment="1">
      <alignment horizontal="left" wrapText="1"/>
    </xf>
    <xf numFmtId="0" fontId="0" fillId="8" borderId="2" xfId="0" applyFont="1" applyFill="1" applyBorder="1" applyAlignment="1">
      <alignment horizontal="left"/>
    </xf>
    <xf numFmtId="0" fontId="14" fillId="8" borderId="2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 wrapText="1"/>
    </xf>
    <xf numFmtId="0" fontId="17" fillId="5" borderId="2" xfId="0" applyFont="1" applyFill="1" applyBorder="1" applyAlignment="1">
      <alignment horizontal="left" wrapText="1"/>
    </xf>
    <xf numFmtId="0" fontId="18" fillId="6" borderId="2" xfId="0" applyFont="1" applyFill="1" applyBorder="1"/>
    <xf numFmtId="0" fontId="0" fillId="6" borderId="2" xfId="0" applyFont="1" applyFill="1" applyBorder="1"/>
    <xf numFmtId="0" fontId="14" fillId="6" borderId="2" xfId="0" applyFont="1" applyFill="1" applyBorder="1"/>
    <xf numFmtId="0" fontId="5" fillId="9" borderId="2" xfId="0" applyFont="1" applyFill="1" applyBorder="1" applyAlignment="1">
      <alignment horizontal="left" wrapText="1"/>
    </xf>
    <xf numFmtId="0" fontId="8" fillId="9" borderId="2" xfId="0" applyFont="1" applyFill="1" applyBorder="1" applyAlignment="1">
      <alignment horizontal="left" wrapText="1"/>
    </xf>
    <xf numFmtId="0" fontId="20" fillId="9" borderId="2" xfId="0" applyFont="1" applyFill="1" applyBorder="1" applyAlignment="1">
      <alignment horizontal="left"/>
    </xf>
    <xf numFmtId="0" fontId="21" fillId="10" borderId="4" xfId="0" applyFont="1" applyFill="1" applyBorder="1" applyAlignment="1">
      <alignment horizontal="left"/>
    </xf>
    <xf numFmtId="0" fontId="22" fillId="10" borderId="5" xfId="0" applyFont="1" applyFill="1" applyBorder="1" applyAlignment="1">
      <alignment horizontal="left"/>
    </xf>
    <xf numFmtId="0" fontId="22" fillId="10" borderId="6" xfId="0" applyFont="1" applyFill="1" applyBorder="1" applyAlignment="1">
      <alignment horizontal="left"/>
    </xf>
    <xf numFmtId="0" fontId="21" fillId="10" borderId="6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21" fillId="0" borderId="7" xfId="0" applyFont="1" applyBorder="1" applyAlignment="1">
      <alignment horizontal="left"/>
    </xf>
    <xf numFmtId="0" fontId="22" fillId="0" borderId="4" xfId="0" applyFont="1" applyFill="1" applyBorder="1" applyAlignment="1">
      <alignment horizontal="left"/>
    </xf>
    <xf numFmtId="0" fontId="23" fillId="0" borderId="4" xfId="0" applyFont="1" applyFill="1" applyBorder="1" applyAlignment="1">
      <alignment horizontal="left"/>
    </xf>
    <xf numFmtId="0" fontId="24" fillId="11" borderId="4" xfId="0" applyFont="1" applyFill="1" applyBorder="1" applyAlignment="1">
      <alignment horizontal="left"/>
    </xf>
    <xf numFmtId="0" fontId="19" fillId="11" borderId="4" xfId="1" applyFill="1" applyBorder="1" applyAlignment="1" applyProtection="1">
      <alignment horizontal="left"/>
    </xf>
    <xf numFmtId="0" fontId="23" fillId="12" borderId="4" xfId="0" applyFont="1" applyFill="1" applyBorder="1" applyAlignment="1">
      <alignment horizontal="left"/>
    </xf>
    <xf numFmtId="0" fontId="26" fillId="12" borderId="4" xfId="1" applyFont="1" applyFill="1" applyBorder="1" applyAlignment="1" applyProtection="1">
      <alignment horizontal="left"/>
    </xf>
    <xf numFmtId="0" fontId="24" fillId="13" borderId="4" xfId="0" applyFont="1" applyFill="1" applyBorder="1" applyAlignment="1">
      <alignment horizontal="left"/>
    </xf>
    <xf numFmtId="0" fontId="19" fillId="13" borderId="4" xfId="1" applyFill="1" applyBorder="1" applyAlignment="1">
      <alignment horizontal="left"/>
    </xf>
    <xf numFmtId="0" fontId="24" fillId="14" borderId="4" xfId="0" applyFont="1" applyFill="1" applyBorder="1" applyAlignment="1">
      <alignment horizontal="left"/>
    </xf>
    <xf numFmtId="0" fontId="19" fillId="14" borderId="4" xfId="1" applyFill="1" applyBorder="1" applyAlignment="1">
      <alignment horizontal="left"/>
    </xf>
    <xf numFmtId="0" fontId="24" fillId="15" borderId="4" xfId="0" applyFont="1" applyFill="1" applyBorder="1" applyAlignment="1">
      <alignment horizontal="left"/>
    </xf>
    <xf numFmtId="0" fontId="23" fillId="15" borderId="4" xfId="0" applyFont="1" applyFill="1" applyBorder="1" applyAlignment="1">
      <alignment horizontal="left"/>
    </xf>
    <xf numFmtId="0" fontId="19" fillId="15" borderId="4" xfId="1" applyFill="1" applyBorder="1" applyAlignment="1">
      <alignment horizontal="left"/>
    </xf>
    <xf numFmtId="0" fontId="24" fillId="16" borderId="4" xfId="0" applyFont="1" applyFill="1" applyBorder="1" applyAlignment="1">
      <alignment horizontal="left"/>
    </xf>
    <xf numFmtId="0" fontId="19" fillId="16" borderId="4" xfId="1" applyFill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23" fillId="11" borderId="4" xfId="0" applyFont="1" applyFill="1" applyBorder="1" applyAlignment="1">
      <alignment horizontal="left"/>
    </xf>
    <xf numFmtId="0" fontId="19" fillId="11" borderId="4" xfId="1" applyFill="1" applyBorder="1" applyAlignment="1">
      <alignment horizontal="left"/>
    </xf>
    <xf numFmtId="0" fontId="19" fillId="12" borderId="4" xfId="1" applyFill="1" applyBorder="1" applyAlignment="1">
      <alignment horizontal="left"/>
    </xf>
    <xf numFmtId="0" fontId="23" fillId="13" borderId="4" xfId="0" applyFont="1" applyFill="1" applyBorder="1" applyAlignment="1">
      <alignment horizontal="left"/>
    </xf>
    <xf numFmtId="0" fontId="25" fillId="13" borderId="4" xfId="1" applyFont="1" applyFill="1" applyBorder="1" applyAlignment="1">
      <alignment horizontal="left"/>
    </xf>
    <xf numFmtId="0" fontId="22" fillId="0" borderId="4" xfId="0" applyFont="1" applyFill="1" applyBorder="1" applyAlignment="1">
      <alignment horizontal="left" wrapText="1"/>
    </xf>
    <xf numFmtId="0" fontId="27" fillId="0" borderId="4" xfId="0" applyFont="1" applyFill="1" applyBorder="1" applyAlignment="1">
      <alignment horizontal="left" wrapText="1"/>
    </xf>
    <xf numFmtId="0" fontId="23" fillId="13" borderId="4" xfId="0" applyFont="1" applyFill="1" applyBorder="1" applyAlignment="1">
      <alignment horizontal="left" wrapText="1"/>
    </xf>
    <xf numFmtId="0" fontId="23" fillId="14" borderId="4" xfId="0" applyFont="1" applyFill="1" applyBorder="1" applyAlignment="1">
      <alignment horizontal="left"/>
    </xf>
    <xf numFmtId="0" fontId="0" fillId="15" borderId="4" xfId="0" applyFont="1" applyFill="1" applyBorder="1" applyAlignment="1">
      <alignment horizontal="left"/>
    </xf>
    <xf numFmtId="0" fontId="25" fillId="15" borderId="4" xfId="1" applyFont="1" applyFill="1" applyBorder="1" applyAlignment="1">
      <alignment horizontal="left"/>
    </xf>
    <xf numFmtId="0" fontId="0" fillId="16" borderId="4" xfId="0" applyFont="1" applyFill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0" fillId="15" borderId="4" xfId="0" applyFill="1" applyBorder="1" applyAlignment="1">
      <alignment horizontal="left"/>
    </xf>
    <xf numFmtId="0" fontId="0" fillId="16" borderId="4" xfId="0" applyFill="1" applyBorder="1" applyAlignment="1">
      <alignment horizontal="left"/>
    </xf>
    <xf numFmtId="0" fontId="28" fillId="0" borderId="4" xfId="0" applyFont="1" applyFill="1" applyBorder="1" applyAlignment="1">
      <alignment horizontal="left"/>
    </xf>
    <xf numFmtId="0" fontId="24" fillId="0" borderId="4" xfId="0" applyFont="1" applyFill="1" applyBorder="1" applyAlignment="1">
      <alignment horizontal="left"/>
    </xf>
    <xf numFmtId="0" fontId="24" fillId="12" borderId="4" xfId="0" applyFont="1" applyFill="1" applyBorder="1" applyAlignment="1">
      <alignment horizontal="left"/>
    </xf>
    <xf numFmtId="0" fontId="29" fillId="0" borderId="4" xfId="0" applyFont="1" applyFill="1" applyBorder="1" applyAlignment="1">
      <alignment horizontal="left"/>
    </xf>
    <xf numFmtId="0" fontId="29" fillId="11" borderId="4" xfId="0" applyFont="1" applyFill="1" applyBorder="1" applyAlignment="1">
      <alignment horizontal="left"/>
    </xf>
    <xf numFmtId="0" fontId="29" fillId="12" borderId="4" xfId="0" applyFont="1" applyFill="1" applyBorder="1" applyAlignment="1">
      <alignment horizontal="left"/>
    </xf>
    <xf numFmtId="0" fontId="30" fillId="12" borderId="4" xfId="1" applyFont="1" applyFill="1" applyBorder="1" applyAlignment="1">
      <alignment horizontal="left"/>
    </xf>
    <xf numFmtId="0" fontId="29" fillId="13" borderId="4" xfId="0" applyFont="1" applyFill="1" applyBorder="1" applyAlignment="1">
      <alignment horizontal="left"/>
    </xf>
    <xf numFmtId="0" fontId="29" fillId="14" borderId="4" xfId="0" applyFont="1" applyFill="1" applyBorder="1" applyAlignment="1">
      <alignment horizontal="left"/>
    </xf>
    <xf numFmtId="0" fontId="29" fillId="15" borderId="4" xfId="0" applyFont="1" applyFill="1" applyBorder="1" applyAlignment="1">
      <alignment horizontal="left"/>
    </xf>
    <xf numFmtId="0" fontId="29" fillId="16" borderId="4" xfId="0" applyFont="1" applyFill="1" applyBorder="1" applyAlignment="1">
      <alignment horizontal="left"/>
    </xf>
    <xf numFmtId="0" fontId="27" fillId="0" borderId="4" xfId="0" applyFont="1" applyFill="1" applyBorder="1" applyAlignment="1">
      <alignment horizontal="left"/>
    </xf>
    <xf numFmtId="0" fontId="0" fillId="11" borderId="4" xfId="0" applyFont="1" applyFill="1" applyBorder="1" applyAlignment="1">
      <alignment horizontal="left"/>
    </xf>
    <xf numFmtId="0" fontId="0" fillId="12" borderId="4" xfId="0" applyFont="1" applyFill="1" applyBorder="1" applyAlignment="1">
      <alignment horizontal="left"/>
    </xf>
    <xf numFmtId="0" fontId="0" fillId="13" borderId="4" xfId="0" applyFont="1" applyFill="1" applyBorder="1" applyAlignment="1">
      <alignment horizontal="left"/>
    </xf>
    <xf numFmtId="0" fontId="0" fillId="14" borderId="4" xfId="0" applyFont="1" applyFill="1" applyBorder="1" applyAlignment="1">
      <alignment horizontal="left"/>
    </xf>
    <xf numFmtId="0" fontId="31" fillId="11" borderId="4" xfId="1" applyFont="1" applyFill="1" applyBorder="1" applyAlignment="1">
      <alignment horizontal="left"/>
    </xf>
    <xf numFmtId="0" fontId="32" fillId="13" borderId="4" xfId="0" applyFont="1" applyFill="1" applyBorder="1" applyAlignment="1">
      <alignment horizontal="left"/>
    </xf>
    <xf numFmtId="0" fontId="23" fillId="0" borderId="4" xfId="2" applyFont="1" applyFill="1" applyBorder="1" applyAlignment="1" applyProtection="1">
      <alignment horizontal="left" vertical="justify" wrapText="1"/>
      <protection hidden="1"/>
    </xf>
    <xf numFmtId="0" fontId="23" fillId="11" borderId="4" xfId="0" quotePrefix="1" applyNumberFormat="1" applyFont="1" applyFill="1" applyBorder="1" applyAlignment="1">
      <alignment horizontal="left"/>
    </xf>
    <xf numFmtId="0" fontId="0" fillId="12" borderId="0" xfId="0" applyFill="1" applyAlignment="1">
      <alignment horizontal="left"/>
    </xf>
    <xf numFmtId="0" fontId="31" fillId="14" borderId="4" xfId="1" applyFont="1" applyFill="1" applyBorder="1" applyAlignment="1" applyProtection="1">
      <alignment horizontal="left"/>
    </xf>
    <xf numFmtId="0" fontId="23" fillId="12" borderId="4" xfId="1" applyFont="1" applyFill="1" applyBorder="1" applyAlignment="1" applyProtection="1">
      <alignment horizontal="left"/>
    </xf>
    <xf numFmtId="0" fontId="34" fillId="14" borderId="4" xfId="0" applyFont="1" applyFill="1" applyBorder="1" applyAlignment="1">
      <alignment horizontal="left"/>
    </xf>
    <xf numFmtId="0" fontId="31" fillId="15" borderId="4" xfId="1" applyFont="1" applyFill="1" applyBorder="1" applyAlignment="1">
      <alignment horizontal="left"/>
    </xf>
    <xf numFmtId="0" fontId="24" fillId="11" borderId="4" xfId="0" applyFont="1" applyFill="1" applyBorder="1" applyAlignment="1">
      <alignment horizontal="left" vertical="center"/>
    </xf>
    <xf numFmtId="0" fontId="31" fillId="12" borderId="4" xfId="1" applyFont="1" applyFill="1" applyBorder="1" applyAlignment="1">
      <alignment horizontal="left"/>
    </xf>
    <xf numFmtId="0" fontId="31" fillId="11" borderId="4" xfId="1" applyFont="1" applyFill="1" applyBorder="1" applyAlignment="1">
      <alignment horizontal="left" wrapText="1"/>
    </xf>
    <xf numFmtId="0" fontId="31" fillId="12" borderId="4" xfId="1" applyFont="1" applyFill="1" applyBorder="1" applyAlignment="1">
      <alignment horizontal="left" wrapText="1"/>
    </xf>
    <xf numFmtId="0" fontId="31" fillId="13" borderId="4" xfId="1" applyFont="1" applyFill="1" applyBorder="1" applyAlignment="1">
      <alignment horizontal="left" wrapText="1"/>
    </xf>
    <xf numFmtId="0" fontId="31" fillId="13" borderId="4" xfId="1" applyFont="1" applyFill="1" applyBorder="1" applyAlignment="1">
      <alignment horizontal="left"/>
    </xf>
    <xf numFmtId="0" fontId="31" fillId="14" borderId="4" xfId="1" applyFont="1" applyFill="1" applyBorder="1" applyAlignment="1">
      <alignment horizontal="left" wrapText="1"/>
    </xf>
    <xf numFmtId="0" fontId="31" fillId="14" borderId="4" xfId="1" applyFont="1" applyFill="1" applyBorder="1" applyAlignment="1">
      <alignment horizontal="left"/>
    </xf>
    <xf numFmtId="0" fontId="31" fillId="12" borderId="4" xfId="1" applyFont="1" applyFill="1" applyBorder="1" applyAlignment="1" applyProtection="1">
      <alignment horizontal="left"/>
    </xf>
    <xf numFmtId="0" fontId="25" fillId="16" borderId="4" xfId="1" applyFont="1" applyFill="1" applyBorder="1" applyAlignment="1">
      <alignment horizontal="left"/>
    </xf>
    <xf numFmtId="0" fontId="24" fillId="17" borderId="4" xfId="0" applyFont="1" applyFill="1" applyBorder="1" applyAlignment="1">
      <alignment horizontal="left"/>
    </xf>
    <xf numFmtId="0" fontId="19" fillId="17" borderId="4" xfId="1" applyFill="1" applyBorder="1" applyAlignment="1">
      <alignment horizontal="left"/>
    </xf>
    <xf numFmtId="0" fontId="24" fillId="18" borderId="4" xfId="0" applyFont="1" applyFill="1" applyBorder="1" applyAlignment="1">
      <alignment horizontal="left"/>
    </xf>
    <xf numFmtId="0" fontId="19" fillId="18" borderId="4" xfId="1" applyFill="1" applyBorder="1" applyAlignment="1">
      <alignment horizontal="left"/>
    </xf>
    <xf numFmtId="0" fontId="19" fillId="12" borderId="4" xfId="1" applyFill="1" applyBorder="1" applyAlignment="1" applyProtection="1">
      <alignment horizontal="left"/>
    </xf>
    <xf numFmtId="0" fontId="35" fillId="0" borderId="4" xfId="0" applyFont="1" applyFill="1" applyBorder="1" applyAlignment="1">
      <alignment horizontal="left"/>
    </xf>
    <xf numFmtId="0" fontId="31" fillId="16" borderId="4" xfId="1" applyFont="1" applyFill="1" applyBorder="1" applyAlignment="1">
      <alignment horizontal="left"/>
    </xf>
    <xf numFmtId="0" fontId="22" fillId="0" borderId="4" xfId="2" applyFont="1" applyFill="1" applyBorder="1" applyAlignment="1" applyProtection="1">
      <alignment horizontal="left" wrapText="1"/>
      <protection hidden="1"/>
    </xf>
    <xf numFmtId="0" fontId="31" fillId="11" borderId="4" xfId="1" applyFont="1" applyFill="1" applyBorder="1" applyAlignment="1" applyProtection="1">
      <alignment horizontal="left"/>
    </xf>
    <xf numFmtId="0" fontId="23" fillId="12" borderId="4" xfId="0" applyFont="1" applyFill="1" applyBorder="1" applyAlignment="1">
      <alignment horizontal="left" vertical="top" wrapText="1"/>
    </xf>
    <xf numFmtId="0" fontId="23" fillId="0" borderId="4" xfId="0" applyFont="1" applyFill="1" applyBorder="1" applyAlignment="1">
      <alignment horizontal="left" wrapText="1"/>
    </xf>
    <xf numFmtId="0" fontId="23" fillId="0" borderId="4" xfId="3" applyFont="1" applyFill="1" applyBorder="1" applyAlignment="1">
      <alignment horizontal="left" wrapText="1"/>
    </xf>
    <xf numFmtId="0" fontId="26" fillId="14" borderId="4" xfId="1" applyFont="1" applyFill="1" applyBorder="1" applyAlignment="1">
      <alignment horizontal="left"/>
    </xf>
    <xf numFmtId="0" fontId="27" fillId="17" borderId="4" xfId="0" applyFont="1" applyFill="1" applyBorder="1" applyAlignment="1">
      <alignment horizontal="left"/>
    </xf>
    <xf numFmtId="0" fontId="27" fillId="17" borderId="4" xfId="1" applyFont="1" applyFill="1" applyBorder="1" applyAlignment="1" applyProtection="1">
      <alignment horizontal="left"/>
    </xf>
    <xf numFmtId="0" fontId="23" fillId="18" borderId="4" xfId="0" applyFont="1" applyFill="1" applyBorder="1" applyAlignment="1">
      <alignment horizontal="left"/>
    </xf>
    <xf numFmtId="0" fontId="19" fillId="0" borderId="4" xfId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23" fillId="14" borderId="4" xfId="1" applyFont="1" applyFill="1" applyBorder="1" applyAlignment="1">
      <alignment horizontal="left"/>
    </xf>
    <xf numFmtId="0" fontId="0" fillId="0" borderId="4" xfId="0" applyFont="1" applyFill="1" applyBorder="1" applyAlignment="1">
      <alignment horizontal="left" wrapText="1"/>
    </xf>
    <xf numFmtId="0" fontId="31" fillId="11" borderId="4" xfId="1" applyFont="1" applyFill="1" applyBorder="1" applyAlignment="1">
      <alignment horizontal="left" vertical="center"/>
    </xf>
    <xf numFmtId="0" fontId="30" fillId="11" borderId="4" xfId="1" applyFont="1" applyFill="1" applyBorder="1" applyAlignment="1">
      <alignment horizontal="left"/>
    </xf>
    <xf numFmtId="0" fontId="30" fillId="14" borderId="4" xfId="1" applyFont="1" applyFill="1" applyBorder="1" applyAlignment="1">
      <alignment horizontal="left"/>
    </xf>
    <xf numFmtId="0" fontId="23" fillId="11" borderId="4" xfId="1" applyFont="1" applyFill="1" applyBorder="1" applyAlignment="1">
      <alignment horizontal="left"/>
    </xf>
    <xf numFmtId="0" fontId="39" fillId="12" borderId="4" xfId="0" applyFont="1" applyFill="1" applyBorder="1" applyAlignment="1">
      <alignment horizontal="left" vertical="center"/>
    </xf>
    <xf numFmtId="0" fontId="31" fillId="12" borderId="4" xfId="1" applyFont="1" applyFill="1" applyBorder="1" applyAlignment="1">
      <alignment horizontal="left" vertical="center"/>
    </xf>
    <xf numFmtId="0" fontId="29" fillId="11" borderId="4" xfId="0" applyFont="1" applyFill="1" applyBorder="1" applyAlignment="1">
      <alignment horizontal="left" wrapText="1"/>
    </xf>
    <xf numFmtId="0" fontId="30" fillId="11" borderId="4" xfId="1" applyFont="1" applyFill="1" applyBorder="1" applyAlignment="1" applyProtection="1">
      <alignment horizontal="left" wrapText="1"/>
    </xf>
    <xf numFmtId="0" fontId="30" fillId="12" borderId="4" xfId="1" applyFont="1" applyFill="1" applyBorder="1" applyAlignment="1" applyProtection="1">
      <alignment horizontal="left" wrapText="1"/>
    </xf>
    <xf numFmtId="0" fontId="29" fillId="12" borderId="4" xfId="0" applyFont="1" applyFill="1" applyBorder="1" applyAlignment="1">
      <alignment horizontal="left" wrapText="1"/>
    </xf>
    <xf numFmtId="0" fontId="29" fillId="13" borderId="4" xfId="0" applyFont="1" applyFill="1" applyBorder="1" applyAlignment="1">
      <alignment horizontal="left" wrapText="1"/>
    </xf>
    <xf numFmtId="0" fontId="19" fillId="13" borderId="4" xfId="1" applyFill="1" applyBorder="1" applyAlignment="1">
      <alignment horizontal="left" wrapText="1"/>
    </xf>
    <xf numFmtId="0" fontId="29" fillId="14" borderId="4" xfId="0" applyFont="1" applyFill="1" applyBorder="1" applyAlignment="1">
      <alignment horizontal="left" wrapText="1"/>
    </xf>
    <xf numFmtId="0" fontId="19" fillId="14" borderId="4" xfId="1" applyFill="1" applyBorder="1" applyAlignment="1">
      <alignment horizontal="left" wrapText="1"/>
    </xf>
    <xf numFmtId="0" fontId="29" fillId="15" borderId="4" xfId="0" applyFont="1" applyFill="1" applyBorder="1" applyAlignment="1">
      <alignment horizontal="left" wrapText="1"/>
    </xf>
    <xf numFmtId="0" fontId="19" fillId="11" borderId="4" xfId="1" applyFill="1" applyBorder="1" applyAlignment="1">
      <alignment horizontal="left" wrapText="1"/>
    </xf>
    <xf numFmtId="0" fontId="23" fillId="13" borderId="4" xfId="1" applyFont="1" applyFill="1" applyBorder="1" applyAlignment="1" applyProtection="1">
      <alignment horizontal="left"/>
    </xf>
    <xf numFmtId="0" fontId="31" fillId="17" borderId="4" xfId="1" applyFont="1" applyFill="1" applyBorder="1" applyAlignment="1">
      <alignment horizontal="left"/>
    </xf>
    <xf numFmtId="0" fontId="31" fillId="18" borderId="4" xfId="1" applyFont="1" applyFill="1" applyBorder="1" applyAlignment="1">
      <alignment horizontal="left"/>
    </xf>
    <xf numFmtId="0" fontId="24" fillId="19" borderId="4" xfId="0" applyFont="1" applyFill="1" applyBorder="1" applyAlignment="1">
      <alignment horizontal="left"/>
    </xf>
    <xf numFmtId="0" fontId="29" fillId="0" borderId="0" xfId="0" applyFont="1" applyAlignment="1">
      <alignment horizontal="left"/>
    </xf>
    <xf numFmtId="0" fontId="24" fillId="0" borderId="4" xfId="0" applyFont="1" applyBorder="1"/>
    <xf numFmtId="0" fontId="24" fillId="11" borderId="4" xfId="0" applyFont="1" applyFill="1" applyBorder="1"/>
    <xf numFmtId="0" fontId="0" fillId="0" borderId="4" xfId="0" applyBorder="1"/>
    <xf numFmtId="0" fontId="19" fillId="0" borderId="4" xfId="1" applyBorder="1"/>
    <xf numFmtId="0" fontId="23" fillId="11" borderId="4" xfId="0" applyFont="1" applyFill="1" applyBorder="1" applyAlignment="1"/>
    <xf numFmtId="0" fontId="23" fillId="20" borderId="4" xfId="0" applyFont="1" applyFill="1" applyBorder="1" applyAlignment="1">
      <alignment horizontal="left"/>
    </xf>
    <xf numFmtId="0" fontId="19" fillId="20" borderId="4" xfId="1" applyFill="1" applyBorder="1" applyAlignment="1">
      <alignment horizontal="left"/>
    </xf>
    <xf numFmtId="0" fontId="23" fillId="13" borderId="4" xfId="0" applyFont="1" applyFill="1" applyBorder="1" applyAlignment="1"/>
    <xf numFmtId="0" fontId="19" fillId="13" borderId="4" xfId="1" applyFill="1" applyBorder="1" applyAlignment="1"/>
    <xf numFmtId="0" fontId="23" fillId="21" borderId="4" xfId="0" applyFont="1" applyFill="1" applyBorder="1" applyAlignment="1"/>
    <xf numFmtId="0" fontId="29" fillId="22" borderId="4" xfId="0" applyFont="1" applyFill="1" applyBorder="1" applyAlignment="1"/>
    <xf numFmtId="0" fontId="0" fillId="23" borderId="4" xfId="0" applyFont="1" applyFill="1" applyBorder="1" applyAlignment="1"/>
    <xf numFmtId="0" fontId="29" fillId="0" borderId="4" xfId="0" applyFont="1" applyFill="1" applyBorder="1"/>
    <xf numFmtId="0" fontId="29" fillId="17" borderId="4" xfId="0" applyFont="1" applyFill="1" applyBorder="1" applyAlignment="1">
      <alignment horizontal="left"/>
    </xf>
    <xf numFmtId="0" fontId="29" fillId="17" borderId="4" xfId="0" applyFont="1" applyFill="1" applyBorder="1" applyAlignment="1">
      <alignment horizontal="right" vertical="center"/>
    </xf>
    <xf numFmtId="0" fontId="19" fillId="17" borderId="4" xfId="1" applyFill="1" applyBorder="1" applyAlignment="1" applyProtection="1">
      <alignment horizontal="left"/>
    </xf>
    <xf numFmtId="0" fontId="29" fillId="24" borderId="4" xfId="0" applyFont="1" applyFill="1" applyBorder="1"/>
    <xf numFmtId="0" fontId="29" fillId="25" borderId="4" xfId="0" applyFont="1" applyFill="1" applyBorder="1"/>
    <xf numFmtId="0" fontId="29" fillId="16" borderId="4" xfId="0" applyFont="1" applyFill="1" applyBorder="1"/>
    <xf numFmtId="0" fontId="29" fillId="18" borderId="4" xfId="0" applyFont="1" applyFill="1" applyBorder="1"/>
    <xf numFmtId="0" fontId="29" fillId="10" borderId="4" xfId="0" applyFont="1" applyFill="1" applyBorder="1"/>
    <xf numFmtId="0" fontId="21" fillId="0" borderId="4" xfId="0" applyFont="1" applyFill="1" applyBorder="1"/>
    <xf numFmtId="0" fontId="24" fillId="17" borderId="4" xfId="0" applyFont="1" applyFill="1" applyBorder="1"/>
    <xf numFmtId="0" fontId="26" fillId="17" borderId="4" xfId="1" applyFont="1" applyFill="1" applyBorder="1" applyAlignment="1" applyProtection="1">
      <alignment horizontal="left"/>
    </xf>
    <xf numFmtId="0" fontId="24" fillId="24" borderId="4" xfId="0" applyFont="1" applyFill="1" applyBorder="1" applyAlignment="1">
      <alignment horizontal="left"/>
    </xf>
    <xf numFmtId="0" fontId="23" fillId="24" borderId="4" xfId="0" applyFont="1" applyFill="1" applyBorder="1"/>
    <xf numFmtId="0" fontId="24" fillId="24" borderId="4" xfId="0" applyFont="1" applyFill="1" applyBorder="1"/>
    <xf numFmtId="0" fontId="24" fillId="18" borderId="4" xfId="0" applyFont="1" applyFill="1" applyBorder="1"/>
    <xf numFmtId="0" fontId="24" fillId="26" borderId="4" xfId="0" applyFont="1" applyFill="1" applyBorder="1"/>
    <xf numFmtId="0" fontId="23" fillId="11" borderId="4" xfId="0" applyFont="1" applyFill="1" applyBorder="1"/>
    <xf numFmtId="0" fontId="31" fillId="11" borderId="4" xfId="1" applyFont="1" applyFill="1" applyBorder="1"/>
    <xf numFmtId="0" fontId="23" fillId="20" borderId="4" xfId="0" applyFont="1" applyFill="1" applyBorder="1"/>
    <xf numFmtId="0" fontId="24" fillId="20" borderId="4" xfId="0" applyFont="1" applyFill="1" applyBorder="1"/>
    <xf numFmtId="0" fontId="31" fillId="20" borderId="4" xfId="1" applyFont="1" applyFill="1" applyBorder="1"/>
    <xf numFmtId="0" fontId="24" fillId="13" borderId="4" xfId="0" applyFont="1" applyFill="1" applyBorder="1"/>
    <xf numFmtId="0" fontId="31" fillId="13" borderId="4" xfId="1" applyFont="1" applyFill="1" applyBorder="1"/>
    <xf numFmtId="0" fontId="24" fillId="21" borderId="4" xfId="0" applyFont="1" applyFill="1" applyBorder="1"/>
    <xf numFmtId="0" fontId="31" fillId="21" borderId="4" xfId="1" applyFont="1" applyFill="1" applyBorder="1"/>
    <xf numFmtId="0" fontId="24" fillId="22" borderId="4" xfId="0" applyFont="1" applyFill="1" applyBorder="1"/>
    <xf numFmtId="0" fontId="24" fillId="23" borderId="4" xfId="0" applyFont="1" applyFill="1" applyBorder="1"/>
    <xf numFmtId="0" fontId="24" fillId="20" borderId="4" xfId="0" applyFont="1" applyFill="1" applyBorder="1" applyAlignment="1">
      <alignment horizontal="left"/>
    </xf>
    <xf numFmtId="0" fontId="0" fillId="22" borderId="4" xfId="0" applyFont="1" applyFill="1" applyBorder="1"/>
    <xf numFmtId="0" fontId="0" fillId="23" borderId="4" xfId="0" applyFont="1" applyFill="1" applyBorder="1"/>
    <xf numFmtId="0" fontId="24" fillId="11" borderId="4" xfId="0" applyFont="1" applyFill="1" applyBorder="1" applyAlignment="1">
      <alignment horizontal="right" vertical="center"/>
    </xf>
    <xf numFmtId="0" fontId="19" fillId="11" borderId="4" xfId="1" applyFill="1" applyBorder="1"/>
    <xf numFmtId="0" fontId="25" fillId="20" borderId="4" xfId="1" applyFont="1" applyFill="1" applyBorder="1"/>
    <xf numFmtId="0" fontId="0" fillId="13" borderId="4" xfId="0" applyFont="1" applyFill="1" applyBorder="1"/>
    <xf numFmtId="0" fontId="19" fillId="13" borderId="4" xfId="1" applyFill="1" applyBorder="1"/>
    <xf numFmtId="0" fontId="0" fillId="21" borderId="4" xfId="0" applyFont="1" applyFill="1" applyBorder="1"/>
    <xf numFmtId="0" fontId="25" fillId="21" borderId="4" xfId="1" applyFont="1" applyFill="1" applyBorder="1"/>
    <xf numFmtId="0" fontId="26" fillId="20" borderId="4" xfId="1" applyFont="1" applyFill="1" applyBorder="1"/>
    <xf numFmtId="0" fontId="23" fillId="21" borderId="4" xfId="1" applyFont="1" applyFill="1" applyBorder="1" applyAlignment="1">
      <alignment horizontal="right" vertical="center"/>
    </xf>
    <xf numFmtId="0" fontId="26" fillId="11" borderId="4" xfId="1" applyFont="1" applyFill="1" applyBorder="1" applyAlignment="1" applyProtection="1">
      <alignment horizontal="left"/>
    </xf>
    <xf numFmtId="0" fontId="23" fillId="20" borderId="4" xfId="1" applyFont="1" applyFill="1" applyBorder="1" applyAlignment="1" applyProtection="1">
      <alignment horizontal="left"/>
    </xf>
    <xf numFmtId="0" fontId="31" fillId="20" borderId="4" xfId="1" applyFont="1" applyFill="1" applyBorder="1" applyAlignment="1" applyProtection="1"/>
    <xf numFmtId="0" fontId="25" fillId="13" borderId="4" xfId="1" applyFont="1" applyFill="1" applyBorder="1"/>
    <xf numFmtId="0" fontId="21" fillId="0" borderId="4" xfId="0" applyFont="1" applyFill="1" applyBorder="1" applyAlignment="1">
      <alignment horizontal="left"/>
    </xf>
    <xf numFmtId="0" fontId="18" fillId="0" borderId="4" xfId="0" applyFont="1" applyBorder="1"/>
    <xf numFmtId="0" fontId="29" fillId="0" borderId="4" xfId="0" applyFont="1" applyBorder="1"/>
    <xf numFmtId="0" fontId="22" fillId="0" borderId="4" xfId="0" applyFont="1" applyFill="1" applyBorder="1"/>
    <xf numFmtId="0" fontId="22" fillId="27" borderId="4" xfId="0" applyFont="1" applyFill="1" applyBorder="1" applyAlignment="1">
      <alignment horizontal="left"/>
    </xf>
    <xf numFmtId="0" fontId="22" fillId="27" borderId="4" xfId="0" applyFont="1" applyFill="1" applyBorder="1" applyAlignment="1">
      <alignment horizontal="left" wrapText="1"/>
    </xf>
    <xf numFmtId="0" fontId="22" fillId="27" borderId="4" xfId="2" applyFont="1" applyFill="1" applyBorder="1" applyAlignment="1" applyProtection="1">
      <alignment horizontal="left" vertical="justify" wrapText="1"/>
      <protection hidden="1"/>
    </xf>
    <xf numFmtId="0" fontId="28" fillId="27" borderId="4" xfId="0" applyFont="1" applyFill="1" applyBorder="1" applyAlignment="1">
      <alignment horizontal="left"/>
    </xf>
    <xf numFmtId="0" fontId="38" fillId="10" borderId="5" xfId="0" applyFont="1" applyFill="1" applyBorder="1" applyAlignment="1">
      <alignment horizontal="center"/>
    </xf>
    <xf numFmtId="0" fontId="38" fillId="27" borderId="4" xfId="0" applyFont="1" applyFill="1" applyBorder="1" applyAlignment="1">
      <alignment horizontal="center"/>
    </xf>
    <xf numFmtId="0" fontId="38" fillId="0" borderId="4" xfId="0" applyFont="1" applyFill="1" applyBorder="1" applyAlignment="1">
      <alignment horizontal="center"/>
    </xf>
    <xf numFmtId="0" fontId="38" fillId="0" borderId="4" xfId="2" applyFont="1" applyFill="1" applyBorder="1" applyAlignment="1" applyProtection="1">
      <alignment horizontal="center" wrapText="1"/>
      <protection hidden="1"/>
    </xf>
    <xf numFmtId="0" fontId="38" fillId="0" borderId="4" xfId="0" applyFont="1" applyFill="1" applyBorder="1" applyAlignment="1">
      <alignment horizontal="center" wrapText="1"/>
    </xf>
    <xf numFmtId="0" fontId="40" fillId="27" borderId="4" xfId="0" applyFont="1" applyFill="1" applyBorder="1" applyAlignment="1">
      <alignment horizontal="center"/>
    </xf>
    <xf numFmtId="0" fontId="28" fillId="27" borderId="4" xfId="0" applyFont="1" applyFill="1" applyBorder="1" applyAlignment="1">
      <alignment horizontal="left" wrapText="1"/>
    </xf>
    <xf numFmtId="0" fontId="40" fillId="27" borderId="4" xfId="0" applyFont="1" applyFill="1" applyBorder="1" applyAlignment="1">
      <alignment horizontal="center" wrapText="1"/>
    </xf>
    <xf numFmtId="0" fontId="40" fillId="27" borderId="4" xfId="0" applyFont="1" applyFill="1" applyBorder="1" applyAlignment="1">
      <alignment horizontal="left" wrapText="1"/>
    </xf>
    <xf numFmtId="0" fontId="21" fillId="27" borderId="4" xfId="0" applyFont="1" applyFill="1" applyBorder="1"/>
    <xf numFmtId="0" fontId="43" fillId="27" borderId="4" xfId="0" applyFont="1" applyFill="1" applyBorder="1" applyAlignment="1">
      <alignment horizontal="center"/>
    </xf>
    <xf numFmtId="0" fontId="44" fillId="0" borderId="4" xfId="0" applyFont="1" applyFill="1" applyBorder="1" applyAlignment="1">
      <alignment horizontal="left"/>
    </xf>
    <xf numFmtId="0" fontId="44" fillId="27" borderId="4" xfId="0" applyFont="1" applyFill="1" applyBorder="1" applyAlignment="1">
      <alignment horizontal="left"/>
    </xf>
    <xf numFmtId="0" fontId="44" fillId="27" borderId="4" xfId="3" applyFont="1" applyFill="1" applyBorder="1" applyAlignment="1">
      <alignment horizontal="left" wrapText="1"/>
    </xf>
    <xf numFmtId="0" fontId="45" fillId="27" borderId="4" xfId="0" applyFont="1" applyFill="1" applyBorder="1" applyAlignment="1">
      <alignment horizontal="left" wrapText="1"/>
    </xf>
    <xf numFmtId="0" fontId="44" fillId="27" borderId="4" xfId="0" applyFont="1" applyFill="1" applyBorder="1" applyAlignment="1">
      <alignment horizontal="left" vertical="center"/>
    </xf>
    <xf numFmtId="0" fontId="45" fillId="27" borderId="4" xfId="0" applyFont="1" applyFill="1" applyBorder="1"/>
    <xf numFmtId="0" fontId="44" fillId="27" borderId="4" xfId="0" applyFont="1" applyFill="1" applyBorder="1"/>
    <xf numFmtId="0" fontId="46" fillId="0" borderId="4" xfId="0" applyFont="1" applyFill="1" applyBorder="1" applyAlignment="1">
      <alignment vertical="top"/>
    </xf>
    <xf numFmtId="0" fontId="47" fillId="0" borderId="4" xfId="0" applyFont="1" applyFill="1" applyBorder="1" applyAlignment="1">
      <alignment vertical="top"/>
    </xf>
    <xf numFmtId="0" fontId="0" fillId="0" borderId="0" xfId="0"/>
    <xf numFmtId="0" fontId="23" fillId="0" borderId="8" xfId="0" applyFont="1" applyFill="1" applyBorder="1" applyAlignment="1">
      <alignment horizontal="left"/>
    </xf>
    <xf numFmtId="0" fontId="24" fillId="0" borderId="8" xfId="0" applyFont="1" applyFill="1" applyBorder="1" applyAlignment="1">
      <alignment horizontal="left"/>
    </xf>
    <xf numFmtId="0" fontId="29" fillId="0" borderId="8" xfId="0" applyFont="1" applyFill="1" applyBorder="1" applyAlignment="1">
      <alignment horizontal="left"/>
    </xf>
    <xf numFmtId="0" fontId="27" fillId="0" borderId="8" xfId="0" applyFont="1" applyFill="1" applyBorder="1" applyAlignment="1">
      <alignment horizontal="left"/>
    </xf>
    <xf numFmtId="0" fontId="23" fillId="0" borderId="8" xfId="2" applyFont="1" applyFill="1" applyBorder="1" applyAlignment="1" applyProtection="1">
      <alignment horizontal="left" wrapText="1"/>
      <protection hidden="1"/>
    </xf>
    <xf numFmtId="0" fontId="0" fillId="0" borderId="8" xfId="0" applyBorder="1" applyAlignment="1">
      <alignment horizontal="left"/>
    </xf>
    <xf numFmtId="0" fontId="23" fillId="0" borderId="8" xfId="0" applyFont="1" applyFill="1" applyBorder="1"/>
    <xf numFmtId="0" fontId="48" fillId="0" borderId="4" xfId="0" applyFont="1" applyBorder="1" applyAlignment="1">
      <alignment horizontal="left"/>
    </xf>
    <xf numFmtId="0" fontId="22" fillId="10" borderId="4" xfId="0" applyFont="1" applyFill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/>
    <xf numFmtId="0" fontId="22" fillId="0" borderId="7" xfId="0" applyFont="1" applyBorder="1" applyAlignment="1">
      <alignment horizontal="left"/>
    </xf>
    <xf numFmtId="0" fontId="49" fillId="11" borderId="4" xfId="1" applyFont="1" applyFill="1" applyBorder="1" applyAlignment="1">
      <alignment horizontal="left"/>
    </xf>
    <xf numFmtId="0" fontId="49" fillId="12" borderId="4" xfId="1" applyFont="1" applyFill="1" applyBorder="1" applyAlignment="1">
      <alignment horizontal="left"/>
    </xf>
    <xf numFmtId="0" fontId="23" fillId="16" borderId="4" xfId="0" applyFont="1" applyFill="1" applyBorder="1" applyAlignment="1">
      <alignment horizontal="left"/>
    </xf>
    <xf numFmtId="0" fontId="49" fillId="16" borderId="4" xfId="1" applyFont="1" applyFill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11" borderId="4" xfId="0" applyFont="1" applyFill="1" applyBorder="1" applyAlignment="1">
      <alignment horizontal="left"/>
    </xf>
    <xf numFmtId="0" fontId="14" fillId="12" borderId="4" xfId="0" applyFont="1" applyFill="1" applyBorder="1" applyAlignment="1">
      <alignment horizontal="left"/>
    </xf>
    <xf numFmtId="0" fontId="14" fillId="13" borderId="4" xfId="0" applyFont="1" applyFill="1" applyBorder="1" applyAlignment="1">
      <alignment horizontal="left"/>
    </xf>
    <xf numFmtId="0" fontId="14" fillId="14" borderId="4" xfId="0" applyFont="1" applyFill="1" applyBorder="1" applyAlignment="1">
      <alignment horizontal="left"/>
    </xf>
    <xf numFmtId="0" fontId="14" fillId="15" borderId="4" xfId="0" applyFont="1" applyFill="1" applyBorder="1" applyAlignment="1">
      <alignment horizontal="left"/>
    </xf>
    <xf numFmtId="0" fontId="14" fillId="16" borderId="4" xfId="0" applyFont="1" applyFill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49" fillId="13" borderId="4" xfId="1" applyFont="1" applyFill="1" applyBorder="1" applyAlignment="1">
      <alignment horizontal="left"/>
    </xf>
    <xf numFmtId="0" fontId="49" fillId="14" borderId="4" xfId="1" applyFont="1" applyFill="1" applyBorder="1" applyAlignment="1">
      <alignment horizontal="left"/>
    </xf>
    <xf numFmtId="0" fontId="26" fillId="11" borderId="4" xfId="1" applyFont="1" applyFill="1" applyBorder="1" applyAlignment="1">
      <alignment horizontal="left"/>
    </xf>
    <xf numFmtId="0" fontId="26" fillId="11" borderId="4" xfId="1" applyFont="1" applyFill="1" applyBorder="1" applyAlignment="1">
      <alignment horizontal="left" wrapText="1"/>
    </xf>
    <xf numFmtId="0" fontId="26" fillId="12" borderId="4" xfId="1" applyFont="1" applyFill="1" applyBorder="1" applyAlignment="1">
      <alignment horizontal="left" wrapText="1"/>
    </xf>
    <xf numFmtId="0" fontId="26" fillId="12" borderId="4" xfId="1" applyFont="1" applyFill="1" applyBorder="1" applyAlignment="1">
      <alignment horizontal="left"/>
    </xf>
    <xf numFmtId="0" fontId="26" fillId="13" borderId="4" xfId="1" applyFont="1" applyFill="1" applyBorder="1" applyAlignment="1">
      <alignment horizontal="left" wrapText="1"/>
    </xf>
    <xf numFmtId="0" fontId="26" fillId="13" borderId="4" xfId="1" applyFont="1" applyFill="1" applyBorder="1" applyAlignment="1">
      <alignment horizontal="left"/>
    </xf>
    <xf numFmtId="0" fontId="26" fillId="14" borderId="4" xfId="1" applyFont="1" applyFill="1" applyBorder="1" applyAlignment="1">
      <alignment horizontal="left" wrapText="1"/>
    </xf>
    <xf numFmtId="0" fontId="26" fillId="15" borderId="4" xfId="1" applyFont="1" applyFill="1" applyBorder="1" applyAlignment="1">
      <alignment horizontal="left"/>
    </xf>
    <xf numFmtId="0" fontId="49" fillId="15" borderId="4" xfId="1" applyFont="1" applyFill="1" applyBorder="1" applyAlignment="1">
      <alignment horizontal="left"/>
    </xf>
    <xf numFmtId="0" fontId="49" fillId="0" borderId="4" xfId="1" applyFont="1" applyBorder="1" applyAlignment="1">
      <alignment horizontal="left"/>
    </xf>
    <xf numFmtId="0" fontId="36" fillId="13" borderId="4" xfId="0" applyFont="1" applyFill="1" applyBorder="1" applyAlignment="1">
      <alignment horizontal="left"/>
    </xf>
    <xf numFmtId="0" fontId="22" fillId="0" borderId="7" xfId="0" applyFont="1" applyFill="1" applyBorder="1" applyAlignment="1">
      <alignment horizontal="left"/>
    </xf>
    <xf numFmtId="0" fontId="50" fillId="0" borderId="7" xfId="0" applyFont="1" applyBorder="1" applyAlignment="1">
      <alignment horizontal="left"/>
    </xf>
    <xf numFmtId="0" fontId="14" fillId="0" borderId="4" xfId="0" applyFont="1" applyBorder="1"/>
    <xf numFmtId="0" fontId="49" fillId="0" borderId="4" xfId="1" applyFont="1" applyBorder="1"/>
    <xf numFmtId="0" fontId="26" fillId="11" borderId="4" xfId="1" applyFont="1" applyFill="1" applyBorder="1"/>
    <xf numFmtId="0" fontId="23" fillId="13" borderId="4" xfId="0" applyFont="1" applyFill="1" applyBorder="1"/>
    <xf numFmtId="0" fontId="26" fillId="13" borderId="4" xfId="1" applyFont="1" applyFill="1" applyBorder="1"/>
    <xf numFmtId="0" fontId="23" fillId="21" borderId="4" xfId="0" applyFont="1" applyFill="1" applyBorder="1"/>
    <xf numFmtId="0" fontId="26" fillId="21" borderId="4" xfId="1" applyFont="1" applyFill="1" applyBorder="1"/>
    <xf numFmtId="0" fontId="23" fillId="22" borderId="4" xfId="0" applyFont="1" applyFill="1" applyBorder="1"/>
    <xf numFmtId="0" fontId="23" fillId="23" borderId="4" xfId="0" applyFont="1" applyFill="1" applyBorder="1"/>
    <xf numFmtId="0" fontId="14" fillId="23" borderId="4" xfId="0" applyFont="1" applyFill="1" applyBorder="1" applyAlignment="1"/>
    <xf numFmtId="0" fontId="30" fillId="20" borderId="4" xfId="1" applyFont="1" applyFill="1" applyBorder="1" applyAlignment="1">
      <alignment horizontal="left"/>
    </xf>
    <xf numFmtId="0" fontId="49" fillId="20" borderId="4" xfId="1" applyFont="1" applyFill="1" applyBorder="1" applyAlignment="1">
      <alignment horizontal="left"/>
    </xf>
    <xf numFmtId="0" fontId="14" fillId="22" borderId="4" xfId="0" applyFont="1" applyFill="1" applyBorder="1"/>
    <xf numFmtId="0" fontId="14" fillId="23" borderId="4" xfId="0" applyFont="1" applyFill="1" applyBorder="1"/>
    <xf numFmtId="0" fontId="49" fillId="11" borderId="4" xfId="1" applyFont="1" applyFill="1" applyBorder="1"/>
    <xf numFmtId="0" fontId="14" fillId="13" borderId="4" xfId="0" applyFont="1" applyFill="1" applyBorder="1"/>
    <xf numFmtId="0" fontId="50" fillId="0" borderId="4" xfId="0" applyFont="1" applyBorder="1" applyAlignment="1"/>
    <xf numFmtId="0" fontId="14" fillId="0" borderId="4" xfId="0" applyFont="1" applyBorder="1" applyAlignment="1"/>
    <xf numFmtId="0" fontId="14" fillId="0" borderId="4" xfId="0" applyFont="1" applyFill="1" applyBorder="1" applyAlignment="1">
      <alignment horizontal="left"/>
    </xf>
    <xf numFmtId="0" fontId="50" fillId="0" borderId="4" xfId="0" applyFont="1" applyFill="1" applyBorder="1" applyAlignment="1">
      <alignment horizontal="left"/>
    </xf>
    <xf numFmtId="0" fontId="50" fillId="0" borderId="4" xfId="0" applyFont="1" applyBorder="1"/>
    <xf numFmtId="0" fontId="50" fillId="0" borderId="0" xfId="0" applyFont="1" applyAlignment="1"/>
    <xf numFmtId="0" fontId="38" fillId="6" borderId="4" xfId="0" applyFont="1" applyFill="1" applyBorder="1" applyAlignment="1">
      <alignment horizontal="left" wrapText="1"/>
    </xf>
    <xf numFmtId="0" fontId="40" fillId="6" borderId="4" xfId="0" applyFont="1" applyFill="1" applyBorder="1" applyAlignment="1">
      <alignment horizontal="center" wrapText="1"/>
    </xf>
    <xf numFmtId="0" fontId="51" fillId="0" borderId="4" xfId="0" applyFont="1" applyFill="1" applyBorder="1" applyAlignment="1">
      <alignment horizontal="left" vertical="center"/>
    </xf>
    <xf numFmtId="0" fontId="52" fillId="0" borderId="0" xfId="0" applyFont="1" applyFill="1"/>
    <xf numFmtId="0" fontId="53" fillId="0" borderId="4" xfId="0" applyFont="1" applyFill="1" applyBorder="1" applyAlignment="1">
      <alignment horizontal="left"/>
    </xf>
    <xf numFmtId="0" fontId="53" fillId="0" borderId="0" xfId="0" applyFont="1" applyFill="1"/>
    <xf numFmtId="0" fontId="54" fillId="0" borderId="4" xfId="0" applyFont="1" applyFill="1" applyBorder="1" applyAlignment="1">
      <alignment horizontal="left"/>
    </xf>
    <xf numFmtId="0" fontId="55" fillId="0" borderId="4" xfId="0" applyFont="1" applyFill="1" applyBorder="1" applyAlignment="1">
      <alignment horizontal="left"/>
    </xf>
    <xf numFmtId="0" fontId="55" fillId="0" borderId="4" xfId="1" applyFont="1" applyFill="1" applyBorder="1" applyAlignment="1">
      <alignment horizontal="left"/>
    </xf>
    <xf numFmtId="0" fontId="55" fillId="0" borderId="4" xfId="2" applyFont="1" applyFill="1" applyBorder="1" applyAlignment="1">
      <alignment horizontal="left"/>
    </xf>
    <xf numFmtId="0" fontId="54" fillId="0" borderId="4" xfId="0" applyFont="1" applyFill="1" applyBorder="1" applyAlignment="1">
      <alignment horizontal="left" vertical="center"/>
    </xf>
    <xf numFmtId="0" fontId="56" fillId="0" borderId="4" xfId="1" applyFont="1" applyFill="1" applyBorder="1" applyAlignment="1">
      <alignment horizontal="left" vertical="center"/>
    </xf>
    <xf numFmtId="0" fontId="25" fillId="0" borderId="4" xfId="1" applyFont="1" applyFill="1" applyBorder="1" applyAlignment="1">
      <alignment horizontal="left"/>
    </xf>
    <xf numFmtId="0" fontId="56" fillId="0" borderId="4" xfId="1" applyFont="1" applyFill="1" applyBorder="1" applyAlignment="1">
      <alignment horizontal="left"/>
    </xf>
    <xf numFmtId="0" fontId="52" fillId="0" borderId="4" xfId="0" applyFont="1" applyFill="1" applyBorder="1" applyAlignment="1">
      <alignment horizontal="left"/>
    </xf>
    <xf numFmtId="0" fontId="55" fillId="0" borderId="4" xfId="0" applyFont="1" applyFill="1" applyBorder="1" applyAlignment="1">
      <alignment horizontal="left" vertical="top"/>
    </xf>
    <xf numFmtId="0" fontId="57" fillId="0" borderId="4" xfId="0" applyFont="1" applyFill="1" applyBorder="1" applyAlignment="1">
      <alignment horizontal="left"/>
    </xf>
    <xf numFmtId="0" fontId="55" fillId="0" borderId="4" xfId="0" applyFont="1" applyFill="1" applyBorder="1" applyAlignment="1">
      <alignment horizontal="left" vertical="center"/>
    </xf>
    <xf numFmtId="0" fontId="56" fillId="0" borderId="4" xfId="0" applyFont="1" applyFill="1" applyBorder="1" applyAlignment="1">
      <alignment horizontal="left" vertical="center"/>
    </xf>
    <xf numFmtId="0" fontId="58" fillId="0" borderId="4" xfId="0" applyFont="1" applyFill="1" applyBorder="1" applyAlignment="1">
      <alignment horizontal="left"/>
    </xf>
    <xf numFmtId="0" fontId="59" fillId="0" borderId="4" xfId="0" applyFont="1" applyFill="1" applyBorder="1" applyAlignment="1">
      <alignment horizontal="left"/>
    </xf>
    <xf numFmtId="0" fontId="60" fillId="0" borderId="4" xfId="0" applyFont="1" applyFill="1" applyBorder="1" applyAlignment="1">
      <alignment horizontal="left"/>
    </xf>
    <xf numFmtId="0" fontId="61" fillId="0" borderId="4" xfId="0" applyFont="1" applyFill="1" applyBorder="1" applyAlignment="1">
      <alignment horizontal="left"/>
    </xf>
    <xf numFmtId="0" fontId="56" fillId="0" borderId="4" xfId="0" applyFont="1" applyFill="1" applyBorder="1" applyAlignment="1">
      <alignment horizontal="left"/>
    </xf>
    <xf numFmtId="0" fontId="55" fillId="0" borderId="4" xfId="2" applyFont="1" applyFill="1" applyBorder="1" applyAlignment="1" applyProtection="1">
      <alignment horizontal="left" vertical="justify"/>
      <protection hidden="1"/>
    </xf>
    <xf numFmtId="0" fontId="55" fillId="0" borderId="4" xfId="0" applyFont="1" applyFill="1" applyBorder="1" applyAlignment="1" applyProtection="1">
      <alignment horizontal="left"/>
    </xf>
    <xf numFmtId="0" fontId="55" fillId="0" borderId="4" xfId="0" quotePrefix="1" applyNumberFormat="1" applyFont="1" applyFill="1" applyBorder="1" applyAlignment="1">
      <alignment horizontal="left"/>
    </xf>
    <xf numFmtId="0" fontId="54" fillId="0" borderId="4" xfId="0" applyFont="1" applyFill="1" applyBorder="1" applyAlignment="1">
      <alignment horizontal="left" vertical="top"/>
    </xf>
    <xf numFmtId="0" fontId="56" fillId="0" borderId="4" xfId="1" applyFont="1" applyFill="1" applyBorder="1" applyAlignment="1" applyProtection="1">
      <alignment horizontal="left"/>
    </xf>
    <xf numFmtId="0" fontId="55" fillId="0" borderId="4" xfId="1" applyFont="1" applyFill="1" applyBorder="1" applyAlignment="1" applyProtection="1">
      <alignment horizontal="left"/>
    </xf>
    <xf numFmtId="0" fontId="53" fillId="0" borderId="4" xfId="0" applyFont="1" applyFill="1" applyBorder="1" applyAlignment="1">
      <alignment horizontal="left" wrapText="1"/>
    </xf>
    <xf numFmtId="0" fontId="62" fillId="0" borderId="4" xfId="0" applyFont="1" applyFill="1" applyBorder="1" applyAlignment="1">
      <alignment horizontal="left"/>
    </xf>
    <xf numFmtId="0" fontId="63" fillId="0" borderId="4" xfId="0" applyFont="1" applyFill="1" applyBorder="1" applyAlignment="1">
      <alignment horizontal="left"/>
    </xf>
    <xf numFmtId="0" fontId="51" fillId="0" borderId="0" xfId="0" applyFont="1" applyFill="1"/>
    <xf numFmtId="0" fontId="58" fillId="0" borderId="4" xfId="0" quotePrefix="1" applyNumberFormat="1" applyFont="1" applyFill="1" applyBorder="1" applyAlignment="1">
      <alignment horizontal="left"/>
    </xf>
    <xf numFmtId="0" fontId="55" fillId="0" borderId="4" xfId="3" applyFont="1" applyFill="1" applyBorder="1" applyAlignment="1">
      <alignment horizontal="left"/>
    </xf>
    <xf numFmtId="0" fontId="64" fillId="0" borderId="4" xfId="0" applyFont="1" applyFill="1" applyBorder="1" applyAlignment="1">
      <alignment horizontal="left"/>
    </xf>
    <xf numFmtId="11" fontId="54" fillId="0" borderId="4" xfId="0" applyNumberFormat="1" applyFont="1" applyFill="1" applyBorder="1" applyAlignment="1">
      <alignment horizontal="left"/>
    </xf>
    <xf numFmtId="0" fontId="53" fillId="0" borderId="8" xfId="0" applyFont="1" applyFill="1" applyBorder="1"/>
    <xf numFmtId="0" fontId="53" fillId="0" borderId="4" xfId="0" applyFont="1" applyFill="1" applyBorder="1"/>
    <xf numFmtId="0" fontId="55" fillId="0" borderId="4" xfId="1" applyFont="1" applyFill="1" applyBorder="1" applyAlignment="1">
      <alignment horizontal="left" vertical="center"/>
    </xf>
    <xf numFmtId="0" fontId="65" fillId="0" borderId="4" xfId="0" applyFont="1" applyFill="1" applyBorder="1" applyAlignment="1">
      <alignment horizontal="left"/>
    </xf>
    <xf numFmtId="0" fontId="62" fillId="0" borderId="4" xfId="0" applyFont="1" applyFill="1" applyBorder="1" applyAlignment="1">
      <alignment horizontal="left" wrapText="1"/>
    </xf>
    <xf numFmtId="0" fontId="0" fillId="0" borderId="8" xfId="0" applyBorder="1"/>
    <xf numFmtId="0" fontId="66" fillId="0" borderId="4" xfId="1" applyFont="1" applyFill="1" applyBorder="1"/>
    <xf numFmtId="0" fontId="59" fillId="0" borderId="4" xfId="0" applyFont="1" applyFill="1" applyBorder="1"/>
    <xf numFmtId="0" fontId="59" fillId="0" borderId="4" xfId="0" applyFont="1" applyFill="1" applyBorder="1" applyAlignment="1">
      <alignment horizontal="right" wrapText="1"/>
    </xf>
    <xf numFmtId="0" fontId="53" fillId="0" borderId="4" xfId="0" applyFont="1" applyFill="1" applyBorder="1" applyAlignment="1"/>
    <xf numFmtId="0" fontId="66" fillId="0" borderId="4" xfId="1" applyFont="1" applyFill="1" applyBorder="1" applyAlignment="1"/>
    <xf numFmtId="0" fontId="66" fillId="0" borderId="4" xfId="1" applyFont="1" applyFill="1" applyBorder="1" applyAlignment="1">
      <alignment horizontal="left"/>
    </xf>
    <xf numFmtId="0" fontId="53" fillId="0" borderId="4" xfId="0" applyFont="1" applyFill="1" applyBorder="1" applyAlignment="1">
      <alignment horizontal="right" vertical="center"/>
    </xf>
    <xf numFmtId="0" fontId="55" fillId="0" borderId="4" xfId="1" applyFont="1" applyFill="1" applyBorder="1" applyAlignment="1" applyProtection="1"/>
    <xf numFmtId="0" fontId="66" fillId="0" borderId="4" xfId="1" applyFont="1" applyFill="1" applyBorder="1" applyAlignment="1" applyProtection="1"/>
    <xf numFmtId="0" fontId="55" fillId="0" borderId="4" xfId="0" applyFont="1" applyFill="1" applyBorder="1"/>
    <xf numFmtId="0" fontId="67" fillId="0" borderId="4" xfId="1" applyFont="1" applyFill="1" applyBorder="1"/>
    <xf numFmtId="0" fontId="67" fillId="0" borderId="4" xfId="1" applyFont="1" applyFill="1" applyBorder="1" applyAlignment="1" applyProtection="1">
      <alignment horizontal="left"/>
    </xf>
    <xf numFmtId="0" fontId="55" fillId="0" borderId="4" xfId="0" applyFont="1" applyFill="1" applyBorder="1" applyAlignment="1"/>
    <xf numFmtId="0" fontId="67" fillId="0" borderId="4" xfId="1" applyFont="1" applyFill="1" applyBorder="1" applyAlignment="1">
      <alignment horizontal="left"/>
    </xf>
    <xf numFmtId="0" fontId="67" fillId="0" borderId="4" xfId="1" applyFont="1" applyFill="1" applyBorder="1" applyAlignment="1" applyProtection="1"/>
    <xf numFmtId="0" fontId="55" fillId="0" borderId="4" xfId="0" applyFont="1" applyFill="1" applyBorder="1" applyAlignment="1">
      <alignment horizontal="left" wrapText="1"/>
    </xf>
    <xf numFmtId="0" fontId="25" fillId="0" borderId="4" xfId="1" applyFont="1" applyFill="1" applyBorder="1"/>
    <xf numFmtId="0" fontId="53" fillId="0" borderId="0" xfId="0" applyFont="1" applyFill="1" applyAlignment="1">
      <alignment horizontal="left"/>
    </xf>
    <xf numFmtId="0" fontId="54" fillId="0" borderId="0" xfId="0" applyFont="1" applyFill="1"/>
    <xf numFmtId="0" fontId="1" fillId="0" borderId="4" xfId="0" applyFont="1" applyFill="1" applyBorder="1" applyAlignment="1">
      <alignment horizontal="left"/>
    </xf>
    <xf numFmtId="0" fontId="68" fillId="0" borderId="4" xfId="0" applyFont="1" applyFill="1" applyBorder="1" applyAlignment="1">
      <alignment horizontal="left"/>
    </xf>
    <xf numFmtId="0" fontId="69" fillId="0" borderId="4" xfId="1" applyFont="1" applyFill="1" applyBorder="1" applyAlignment="1">
      <alignment horizontal="left"/>
    </xf>
    <xf numFmtId="0" fontId="70" fillId="0" borderId="4" xfId="0" applyFont="1" applyFill="1" applyBorder="1" applyAlignment="1">
      <alignment horizontal="left"/>
    </xf>
    <xf numFmtId="0" fontId="70" fillId="0" borderId="4" xfId="0" applyFont="1" applyFill="1" applyBorder="1" applyAlignment="1">
      <alignment horizontal="left" vertical="center"/>
    </xf>
    <xf numFmtId="0" fontId="70" fillId="0" borderId="4" xfId="1" applyFont="1" applyFill="1" applyBorder="1" applyAlignment="1" applyProtection="1">
      <alignment horizontal="left"/>
    </xf>
    <xf numFmtId="0" fontId="71" fillId="0" borderId="4" xfId="1" applyFont="1" applyFill="1" applyBorder="1" applyAlignment="1" applyProtection="1">
      <alignment horizontal="left"/>
    </xf>
    <xf numFmtId="0" fontId="68" fillId="0" borderId="4" xfId="0" applyFont="1" applyFill="1" applyBorder="1" applyAlignment="1"/>
    <xf numFmtId="0" fontId="72" fillId="0" borderId="4" xfId="0" applyFont="1" applyFill="1" applyBorder="1" applyAlignment="1">
      <alignment vertical="top"/>
    </xf>
    <xf numFmtId="0" fontId="68" fillId="0" borderId="4" xfId="0" applyFont="1" applyBorder="1" applyAlignment="1"/>
    <xf numFmtId="0" fontId="73" fillId="0" borderId="4" xfId="0" applyFont="1" applyFill="1" applyBorder="1" applyAlignment="1">
      <alignment vertical="top"/>
    </xf>
    <xf numFmtId="1" fontId="14" fillId="0" borderId="0" xfId="0" applyNumberFormat="1" applyFont="1" applyAlignment="1"/>
    <xf numFmtId="0" fontId="27" fillId="11" borderId="4" xfId="0" applyFont="1" applyFill="1" applyBorder="1" applyAlignment="1">
      <alignment horizontal="left"/>
    </xf>
    <xf numFmtId="0" fontId="24" fillId="12" borderId="4" xfId="0" applyFont="1" applyFill="1" applyBorder="1" applyAlignment="1">
      <alignment horizontal="center" vertical="center"/>
    </xf>
    <xf numFmtId="0" fontId="19" fillId="12" borderId="4" xfId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 wrapText="1"/>
    </xf>
    <xf numFmtId="0" fontId="30" fillId="11" borderId="4" xfId="1" applyFont="1" applyFill="1" applyBorder="1" applyAlignment="1" applyProtection="1">
      <alignment horizontal="center" vertical="center" wrapText="1"/>
    </xf>
    <xf numFmtId="0" fontId="55" fillId="0" borderId="4" xfId="0" applyFont="1" applyFill="1" applyBorder="1" applyAlignment="1">
      <alignment horizontal="center" vertical="center"/>
    </xf>
    <xf numFmtId="0" fontId="55" fillId="0" borderId="4" xfId="1" applyFont="1" applyFill="1" applyBorder="1" applyAlignment="1">
      <alignment horizontal="center" vertical="center"/>
    </xf>
    <xf numFmtId="0" fontId="24" fillId="13" borderId="8" xfId="0" applyFont="1" applyFill="1" applyBorder="1" applyAlignment="1">
      <alignment horizontal="left"/>
    </xf>
    <xf numFmtId="0" fontId="30" fillId="12" borderId="8" xfId="1" applyFont="1" applyFill="1" applyBorder="1" applyAlignment="1" applyProtection="1">
      <alignment horizontal="left" wrapText="1"/>
    </xf>
    <xf numFmtId="0" fontId="0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68" fillId="0" borderId="4" xfId="0" applyFont="1" applyFill="1" applyBorder="1" applyAlignment="1">
      <alignment horizontal="center" vertical="center"/>
    </xf>
    <xf numFmtId="0" fontId="69" fillId="0" borderId="4" xfId="1" applyFont="1" applyFill="1" applyBorder="1" applyAlignment="1">
      <alignment horizontal="center" vertical="center"/>
    </xf>
    <xf numFmtId="0" fontId="0" fillId="28" borderId="4" xfId="0" applyFont="1" applyFill="1" applyBorder="1" applyAlignment="1">
      <alignment horizontal="center" vertical="center"/>
    </xf>
    <xf numFmtId="0" fontId="0" fillId="28" borderId="0" xfId="0" applyFont="1" applyFill="1" applyAlignment="1"/>
    <xf numFmtId="0" fontId="18" fillId="0" borderId="0" xfId="0" applyFont="1" applyAlignment="1"/>
    <xf numFmtId="0" fontId="18" fillId="0" borderId="4" xfId="0" applyFont="1" applyBorder="1" applyAlignment="1">
      <alignment horizontal="center" vertical="center"/>
    </xf>
    <xf numFmtId="0" fontId="55" fillId="0" borderId="9" xfId="0" applyFont="1" applyFill="1" applyBorder="1" applyAlignment="1">
      <alignment horizontal="center" vertical="center"/>
    </xf>
    <xf numFmtId="0" fontId="19" fillId="6" borderId="4" xfId="1" applyFill="1" applyBorder="1" applyAlignment="1">
      <alignment horizontal="center" vertical="center"/>
    </xf>
    <xf numFmtId="0" fontId="19" fillId="0" borderId="4" xfId="1" applyFill="1" applyBorder="1" applyAlignment="1">
      <alignment horizontal="center" vertical="center"/>
    </xf>
    <xf numFmtId="0" fontId="19" fillId="0" borderId="0" xfId="1" applyAlignment="1"/>
    <xf numFmtId="0" fontId="19" fillId="0" borderId="4" xfId="1" applyFill="1" applyBorder="1" applyAlignment="1">
      <alignment horizontal="left"/>
    </xf>
    <xf numFmtId="0" fontId="74" fillId="0" borderId="0" xfId="0" applyFont="1" applyAlignment="1"/>
    <xf numFmtId="0" fontId="75" fillId="27" borderId="4" xfId="0" applyFont="1" applyFill="1" applyBorder="1"/>
    <xf numFmtId="0" fontId="76" fillId="0" borderId="4" xfId="0" applyFont="1" applyBorder="1"/>
    <xf numFmtId="0" fontId="77" fillId="0" borderId="4" xfId="0" applyFont="1" applyBorder="1"/>
    <xf numFmtId="0" fontId="77" fillId="0" borderId="10" xfId="0" applyFont="1" applyFill="1" applyBorder="1" applyAlignment="1"/>
    <xf numFmtId="0" fontId="78" fillId="0" borderId="0" xfId="0" applyFont="1" applyAlignment="1"/>
    <xf numFmtId="0" fontId="79" fillId="0" borderId="0" xfId="0" applyFont="1" applyAlignment="1"/>
    <xf numFmtId="0" fontId="80" fillId="0" borderId="0" xfId="0" applyFont="1" applyAlignment="1"/>
    <xf numFmtId="0" fontId="81" fillId="0" borderId="0" xfId="0" applyFont="1" applyAlignment="1"/>
    <xf numFmtId="0" fontId="82" fillId="0" borderId="0" xfId="0" applyFont="1" applyAlignment="1"/>
    <xf numFmtId="0" fontId="6" fillId="0" borderId="0" xfId="0" applyFont="1" applyAlignment="1"/>
    <xf numFmtId="3" fontId="83" fillId="0" borderId="0" xfId="0" applyNumberFormat="1" applyFont="1" applyAlignment="1"/>
    <xf numFmtId="0" fontId="84" fillId="0" borderId="0" xfId="0" applyFont="1" applyAlignment="1"/>
    <xf numFmtId="0" fontId="83" fillId="29" borderId="11" xfId="0" applyFont="1" applyFill="1" applyBorder="1" applyAlignment="1"/>
    <xf numFmtId="0" fontId="6" fillId="29" borderId="12" xfId="0" applyFont="1" applyFill="1" applyBorder="1" applyAlignment="1"/>
    <xf numFmtId="0" fontId="85" fillId="29" borderId="11" xfId="0" applyFont="1" applyFill="1" applyBorder="1" applyAlignment="1"/>
    <xf numFmtId="0" fontId="4" fillId="29" borderId="12" xfId="0" applyFont="1" applyFill="1" applyBorder="1" applyAlignment="1"/>
    <xf numFmtId="0" fontId="4" fillId="30" borderId="11" xfId="0" applyFont="1" applyFill="1" applyBorder="1" applyAlignment="1"/>
    <xf numFmtId="0" fontId="4" fillId="30" borderId="12" xfId="0" applyFont="1" applyFill="1" applyBorder="1" applyAlignment="1"/>
    <xf numFmtId="0" fontId="6" fillId="0" borderId="13" xfId="0" applyFont="1" applyBorder="1" applyAlignment="1"/>
    <xf numFmtId="0" fontId="6" fillId="0" borderId="14" xfId="0" applyFont="1" applyBorder="1" applyAlignment="1"/>
    <xf numFmtId="0" fontId="6" fillId="0" borderId="15" xfId="0" applyFont="1" applyBorder="1" applyAlignment="1"/>
    <xf numFmtId="0" fontId="6" fillId="0" borderId="16" xfId="0" applyFont="1" applyBorder="1" applyAlignment="1"/>
    <xf numFmtId="0" fontId="48" fillId="0" borderId="15" xfId="0" applyFont="1" applyBorder="1" applyAlignment="1"/>
    <xf numFmtId="0" fontId="0" fillId="0" borderId="16" xfId="0" applyFont="1" applyBorder="1" applyAlignment="1"/>
    <xf numFmtId="0" fontId="81" fillId="0" borderId="15" xfId="0" applyFont="1" applyBorder="1" applyAlignment="1"/>
    <xf numFmtId="0" fontId="48" fillId="0" borderId="11" xfId="0" applyFont="1" applyBorder="1" applyAlignment="1"/>
    <xf numFmtId="0" fontId="0" fillId="0" borderId="12" xfId="0" applyFont="1" applyBorder="1" applyAlignment="1"/>
    <xf numFmtId="0" fontId="19" fillId="0" borderId="4" xfId="1" applyFill="1" applyBorder="1" applyAlignment="1">
      <alignment horizontal="left" vertical="center"/>
    </xf>
    <xf numFmtId="0" fontId="19" fillId="0" borderId="0" xfId="1" applyFill="1"/>
    <xf numFmtId="0" fontId="86" fillId="0" borderId="4" xfId="0" applyFont="1" applyFill="1" applyBorder="1" applyAlignment="1">
      <alignment horizontal="left"/>
    </xf>
    <xf numFmtId="0" fontId="86" fillId="0" borderId="4" xfId="1" applyFont="1" applyFill="1" applyBorder="1" applyAlignment="1">
      <alignment horizontal="left"/>
    </xf>
    <xf numFmtId="0" fontId="86" fillId="0" borderId="0" xfId="0" applyFont="1" applyFill="1"/>
    <xf numFmtId="0" fontId="55" fillId="27" borderId="4" xfId="0" applyFont="1" applyFill="1" applyBorder="1" applyAlignment="1">
      <alignment horizontal="left"/>
    </xf>
    <xf numFmtId="0" fontId="55" fillId="27" borderId="4" xfId="1" applyFont="1" applyFill="1" applyBorder="1" applyAlignment="1">
      <alignment horizontal="left"/>
    </xf>
    <xf numFmtId="0" fontId="53" fillId="27" borderId="0" xfId="0" applyFont="1" applyFill="1"/>
    <xf numFmtId="0" fontId="55" fillId="31" borderId="4" xfId="0" applyFont="1" applyFill="1" applyBorder="1" applyAlignment="1">
      <alignment horizontal="left"/>
    </xf>
    <xf numFmtId="0" fontId="28" fillId="32" borderId="4" xfId="2" applyFont="1" applyFill="1" applyBorder="1" applyAlignment="1" applyProtection="1">
      <alignment horizontal="left" vertical="justify" wrapText="1"/>
      <protection hidden="1"/>
    </xf>
    <xf numFmtId="0" fontId="23" fillId="32" borderId="4" xfId="0" applyFont="1" applyFill="1" applyBorder="1" applyAlignment="1">
      <alignment horizontal="left"/>
    </xf>
    <xf numFmtId="0" fontId="23" fillId="32" borderId="4" xfId="0" quotePrefix="1" applyNumberFormat="1" applyFont="1" applyFill="1" applyBorder="1" applyAlignment="1">
      <alignment horizontal="left"/>
    </xf>
    <xf numFmtId="0" fontId="19" fillId="32" borderId="4" xfId="1" applyFill="1" applyBorder="1" applyAlignment="1" applyProtection="1">
      <alignment horizontal="left"/>
    </xf>
    <xf numFmtId="0" fontId="19" fillId="32" borderId="4" xfId="1" applyFill="1" applyBorder="1" applyAlignment="1">
      <alignment horizontal="left"/>
    </xf>
    <xf numFmtId="0" fontId="54" fillId="27" borderId="4" xfId="0" applyFont="1" applyFill="1" applyBorder="1" applyAlignment="1">
      <alignment horizontal="left"/>
    </xf>
    <xf numFmtId="0" fontId="53" fillId="33" borderId="4" xfId="0" applyFont="1" applyFill="1" applyBorder="1" applyAlignment="1">
      <alignment horizontal="left"/>
    </xf>
    <xf numFmtId="0" fontId="53" fillId="33" borderId="4" xfId="0" applyFont="1" applyFill="1" applyBorder="1" applyAlignment="1">
      <alignment horizontal="left" wrapText="1"/>
    </xf>
    <xf numFmtId="0" fontId="87" fillId="33" borderId="4" xfId="0" applyFont="1" applyFill="1" applyBorder="1" applyAlignment="1">
      <alignment horizontal="left"/>
    </xf>
    <xf numFmtId="0" fontId="88" fillId="33" borderId="4" xfId="1" applyFont="1" applyFill="1" applyBorder="1" applyAlignment="1">
      <alignment horizontal="left"/>
    </xf>
    <xf numFmtId="0" fontId="53" fillId="33" borderId="0" xfId="0" applyFont="1" applyFill="1"/>
    <xf numFmtId="0" fontId="54" fillId="33" borderId="4" xfId="0" applyFont="1" applyFill="1" applyBorder="1" applyAlignment="1">
      <alignment horizontal="left" vertical="center"/>
    </xf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0" Type="http://schemas.openxmlformats.org/officeDocument/2006/relationships/hyperlink" Target="javascript:displayMenu('select-arrow29','menuContact','181829','dashboard','true',%20'-1',%20'true',-1,'1',%20'3','20418');" TargetMode="External"/><Relationship Id="rId11" Type="http://schemas.openxmlformats.org/officeDocument/2006/relationships/hyperlink" Target="javascript:displayMenu('select-arrow31','menuContact','190598','dashboard','true',%20'-1',%20'true',-1,'1',%20'3','20418');" TargetMode="External"/><Relationship Id="rId12" Type="http://schemas.openxmlformats.org/officeDocument/2006/relationships/hyperlink" Target="javascript:displayMenu('select-arrow32','menuContact','190595','dashboard','true',%20'-1',%20'true',-1,'1',%20'2','20418');" TargetMode="External"/><Relationship Id="rId13" Type="http://schemas.openxmlformats.org/officeDocument/2006/relationships/hyperlink" Target="javascript:displayMenu('select-arrow33','menuContact','200360','dashboard','true',%20'-1',%20'true',-1,'1',%20'3','20418');" TargetMode="External"/><Relationship Id="rId14" Type="http://schemas.openxmlformats.org/officeDocument/2006/relationships/hyperlink" Target="javascript:displayMenu('select-arrow34','menuContact','190636','dashboard','true',%20'-1',%20'true',-1,'1',%20'3','20418');" TargetMode="External"/><Relationship Id="rId15" Type="http://schemas.openxmlformats.org/officeDocument/2006/relationships/hyperlink" Target="javascript:displayMenu('select-arrow37','menuContact','200210','dashboard','true',%20'-1',%20'true',-1,'1',%20'2','20418');" TargetMode="External"/><Relationship Id="rId16" Type="http://schemas.openxmlformats.org/officeDocument/2006/relationships/hyperlink" Target="javascript:displayMenu('select-arrow39','menuContact','150406','dashboard','true',%20'-1',%20'true',-1,'1',%20'1','20418');" TargetMode="External"/><Relationship Id="rId17" Type="http://schemas.openxmlformats.org/officeDocument/2006/relationships/hyperlink" Target="javascript:displayMenu('select-arrow40','menuContact','95272','dashboard','true',%20'-1',%20'true',-1,'1',%20'1','20418');" TargetMode="External"/><Relationship Id="rId18" Type="http://schemas.openxmlformats.org/officeDocument/2006/relationships/hyperlink" Target="javascript:displayMenu('select-arrow41','menuContact','222021','dashboard','true',%20'-1',%20'true',-1,'1',%20'3','20418');" TargetMode="External"/><Relationship Id="rId19" Type="http://schemas.openxmlformats.org/officeDocument/2006/relationships/hyperlink" Target="javascript:displayMenu('select-arrow42','menuContact','200350','dashboard','true',%20'-1',%20'true',-1,'1',%20'2','20418');" TargetMode="External"/><Relationship Id="rId60" Type="http://schemas.openxmlformats.org/officeDocument/2006/relationships/hyperlink" Target="javascript:displayMenu('select-arrow8','menuContact','129687','dashboard','true',%20'-1',%20'true',-1,'1',%20'2','20509');" TargetMode="External"/><Relationship Id="rId61" Type="http://schemas.openxmlformats.org/officeDocument/2006/relationships/hyperlink" Target="javascript:displayMenu('select-arrow10','menuContact','200250','dashboard','true',%20'-1',%20'true',-1,'1',%20'2','20509');" TargetMode="External"/><Relationship Id="rId62" Type="http://schemas.openxmlformats.org/officeDocument/2006/relationships/hyperlink" Target="javascript:displayMenu('select-arrow11','menuContact','200367','dashboard','true',%20'-1',%20'true',-1,'1',%20'2','20509');" TargetMode="External"/><Relationship Id="rId63" Type="http://schemas.openxmlformats.org/officeDocument/2006/relationships/hyperlink" Target="javascript:displayMenu('select-arrow12','menuContact','190755','dashboard','true',%20'-1',%20'true',-1,'1',%20'2','20509');" TargetMode="External"/><Relationship Id="rId64" Type="http://schemas.openxmlformats.org/officeDocument/2006/relationships/hyperlink" Target="javascript:displayMenu('select-arrow16','menuContact','190773','dashboard','true',%20'-1',%20'true',-1,'1',%20'2','20509');" TargetMode="External"/><Relationship Id="rId65" Type="http://schemas.openxmlformats.org/officeDocument/2006/relationships/hyperlink" Target="javascript:displayMenu('select-arrow25','menuContact','200208','dashboard','true',%20'-1',%20'true',-1,'1',%20'2','20509');" TargetMode="External"/><Relationship Id="rId66" Type="http://schemas.openxmlformats.org/officeDocument/2006/relationships/hyperlink" Target="javascript:displayMenu('select-arrow26','menuContact','216193','dashboard','true',%20'-1',%20'true',-1,'1',%20'2','20509');" TargetMode="External"/><Relationship Id="rId67" Type="http://schemas.openxmlformats.org/officeDocument/2006/relationships/hyperlink" Target="javascript:displayMenu('select-arrow28','menuContact','200251','dashboard','true',%20'-1',%20'true',-1,'1',%20'2','20509');" TargetMode="External"/><Relationship Id="rId68" Type="http://schemas.openxmlformats.org/officeDocument/2006/relationships/hyperlink" Target="javascript:displayMenu('select-arrow30','menuContact','190735','dashboard','true',%20'-1',%20'true',-1,'1',%20'8','20509');" TargetMode="External"/><Relationship Id="rId69" Type="http://schemas.openxmlformats.org/officeDocument/2006/relationships/hyperlink" Target="javascript:displayMenu('select-arrow31','menuContact','95857','dashboard','true',%20'-1',%20'true',-1,'1',%20'9','20509');" TargetMode="External"/><Relationship Id="rId120" Type="http://schemas.openxmlformats.org/officeDocument/2006/relationships/hyperlink" Target="javascript:displayMenu('select-arrow121','menuContact','190578','dashboard','true',%20'-1',%20'true',-1,'1',%20'2','20509');" TargetMode="External"/><Relationship Id="rId121" Type="http://schemas.openxmlformats.org/officeDocument/2006/relationships/hyperlink" Target="javascript:displayMenu('select-arrow122','menuContact','200366','dashboard','true',%20'-1',%20'true',-1,'1',%20'2','20509');" TargetMode="External"/><Relationship Id="rId122" Type="http://schemas.openxmlformats.org/officeDocument/2006/relationships/hyperlink" Target="javascript:displayMenu('select-arrow127','menuContact','203203','dashboard','true',%20'-1',%20'true',-1,'1',%20'2','20509');" TargetMode="External"/><Relationship Id="rId123" Type="http://schemas.openxmlformats.org/officeDocument/2006/relationships/hyperlink" Target="javascript:displayMenu('select-arrow131','menuContact','190604','dashboard','true',%20'-1',%20'true',-1,'1',%20'2','20509');" TargetMode="External"/><Relationship Id="rId124" Type="http://schemas.openxmlformats.org/officeDocument/2006/relationships/hyperlink" Target="javascript:displayMenu('select-arrow132','menuContact','190601','dashboard','true',%20'-1',%20'true',-1,'1',%20'2','20509');" TargetMode="External"/><Relationship Id="rId125" Type="http://schemas.openxmlformats.org/officeDocument/2006/relationships/hyperlink" Target="javascript:displayMenu('select-arrow133','menuContact','213545','dashboard','true',%20'-1',%20'true',-1,'1',%20'9','20509');" TargetMode="External"/><Relationship Id="rId126" Type="http://schemas.openxmlformats.org/officeDocument/2006/relationships/hyperlink" Target="javascript:displayMenu('select-arrow134','menuContact','200247','dashboard','true',%20'-1',%20'true',-1,'1',%20'2','20509');" TargetMode="External"/><Relationship Id="rId127" Type="http://schemas.openxmlformats.org/officeDocument/2006/relationships/hyperlink" Target="javascript:displayMenu('select-arrow135','menuContact','200736','dashboard','true',%20'-1',%20'true',-1,'1',%20'2','20509');" TargetMode="External"/><Relationship Id="rId128" Type="http://schemas.openxmlformats.org/officeDocument/2006/relationships/hyperlink" Target="javascript:displayMenu('select-arrow136','menuContact','180896','dashboard','true',%20'-1',%20'true',-1,'1',%20'2','20509');" TargetMode="External"/><Relationship Id="rId129" Type="http://schemas.openxmlformats.org/officeDocument/2006/relationships/hyperlink" Target="javascript:displayMenu('select-arrow138','menuContact','200185','dashboard','true',%20'-1',%20'true',-1,'1',%20'2','20509');" TargetMode="External"/><Relationship Id="rId40" Type="http://schemas.openxmlformats.org/officeDocument/2006/relationships/hyperlink" Target="javascript:displayMenu('select-arrow78','menuContact','204823','dashboard','true',%20'-1',%20'true',-1,'1',%20'9','20418');" TargetMode="External"/><Relationship Id="rId41" Type="http://schemas.openxmlformats.org/officeDocument/2006/relationships/hyperlink" Target="javascript:displayMenu('select-arrow79','menuContact','206783','dashboard','true',%20'-1',%20'true',-1,'1',%20'9','20418');" TargetMode="External"/><Relationship Id="rId42" Type="http://schemas.openxmlformats.org/officeDocument/2006/relationships/hyperlink" Target="javascript:displayMenu('select-arrow80','menuContact','109527','dashboard','true',%20'-1',%20'true',-1,'1',%20'3','20418');" TargetMode="External"/><Relationship Id="rId90" Type="http://schemas.openxmlformats.org/officeDocument/2006/relationships/hyperlink" Target="javascript:displayMenu('select-arrow76','menuContact','190759','dashboard','true',%20'-1',%20'true',-1,'1',%20'3','20509');" TargetMode="External"/><Relationship Id="rId91" Type="http://schemas.openxmlformats.org/officeDocument/2006/relationships/hyperlink" Target="javascript:displayMenu('select-arrow78','menuContact','200200','dashboard','true',%20'-1',%20'true',-1,'1',%20'2','20509');" TargetMode="External"/><Relationship Id="rId92" Type="http://schemas.openxmlformats.org/officeDocument/2006/relationships/hyperlink" Target="javascript:displayMenu('select-arrow82','menuContact','180955','dashboard','true',%20'-1',%20'true',-1,'1',%20'2','20509');" TargetMode="External"/><Relationship Id="rId93" Type="http://schemas.openxmlformats.org/officeDocument/2006/relationships/hyperlink" Target="javascript:displayMenu('select-arrow85','menuContact','200248','dashboard','true',%20'-1',%20'true',-1,'1',%20'2','20509');" TargetMode="External"/><Relationship Id="rId94" Type="http://schemas.openxmlformats.org/officeDocument/2006/relationships/hyperlink" Target="javascript:displayMenu('select-arrow86','menuContact','91053','dashboard','true',%20'-1',%20'true',-1,'1',%20'2','20509');" TargetMode="External"/><Relationship Id="rId95" Type="http://schemas.openxmlformats.org/officeDocument/2006/relationships/hyperlink" Target="javascript:displayMenu('select-arrow87','menuContact','190644','dashboard','true',%20'-1',%20'true',-1,'1',%20'3','20509');" TargetMode="External"/><Relationship Id="rId96" Type="http://schemas.openxmlformats.org/officeDocument/2006/relationships/hyperlink" Target="javascript:displayMenu('select-arrow88','menuContact','200255','dashboard','true',%20'-1',%20'true',-1,'1',%20'2','20509');" TargetMode="External"/><Relationship Id="rId101" Type="http://schemas.openxmlformats.org/officeDocument/2006/relationships/hyperlink" Target="javascript:displayMenu('select-arrow95','menuContact','200422','dashboard','true',%20'-1',%20'true',-1,'1',%20'2','20509');" TargetMode="External"/><Relationship Id="rId102" Type="http://schemas.openxmlformats.org/officeDocument/2006/relationships/hyperlink" Target="javascript:displayMenu('select-arrow97','menuContact','200336','dashboard','true',%20'-1',%20'true',-1,'1',%20'2','20509');" TargetMode="External"/><Relationship Id="rId103" Type="http://schemas.openxmlformats.org/officeDocument/2006/relationships/hyperlink" Target="javascript:displayMenu('select-arrow99','menuContact','200436','dashboard','true',%20'-1',%20'true',-1,'1',%20'2','20509');" TargetMode="External"/><Relationship Id="rId104" Type="http://schemas.openxmlformats.org/officeDocument/2006/relationships/hyperlink" Target="javascript:displayMenu('select-arrow100','menuContact','200237','dashboard','true',%20'-1',%20'true',-1,'1',%20'2','20509');" TargetMode="External"/><Relationship Id="rId105" Type="http://schemas.openxmlformats.org/officeDocument/2006/relationships/hyperlink" Target="javascript:displayMenu('select-arrow101','menuContact','220088','dashboard','true',%20'-1',%20'true',-1,'1',%20'2','20509');" TargetMode="External"/><Relationship Id="rId106" Type="http://schemas.openxmlformats.org/officeDocument/2006/relationships/hyperlink" Target="javascript:displayMenu('select-arrow102','menuContact','218795','dashboard','true',%20'-1',%20'true',-1,'1',%20'3','20509');" TargetMode="External"/><Relationship Id="rId107" Type="http://schemas.openxmlformats.org/officeDocument/2006/relationships/hyperlink" Target="javascript:displayMenu('select-arrow103','menuContact','200431','dashboard','true',%20'-1',%20'true',-1,'1',%20'2','20509');" TargetMode="External"/><Relationship Id="rId108" Type="http://schemas.openxmlformats.org/officeDocument/2006/relationships/hyperlink" Target="javascript:displayMenu('select-arrow104','menuContact','190618','dashboard','true',%20'-1',%20'true',-1,'1',%20'2','20509');" TargetMode="External"/><Relationship Id="rId109" Type="http://schemas.openxmlformats.org/officeDocument/2006/relationships/hyperlink" Target="javascript:displayMenu('select-arrow105','menuContact','190772','dashboard','true',%20'-1',%20'true',-1,'1',%20'3','20509');" TargetMode="External"/><Relationship Id="rId97" Type="http://schemas.openxmlformats.org/officeDocument/2006/relationships/hyperlink" Target="javascript:displayMenu('select-arrow89','menuContact','200270','dashboard','true',%20'-1',%20'true',-1,'1',%20'2','20509');" TargetMode="External"/><Relationship Id="rId98" Type="http://schemas.openxmlformats.org/officeDocument/2006/relationships/hyperlink" Target="javascript:displayMenu('select-arrow90','menuContact','200433','dashboard','true',%20'-1',%20'true',-1,'1',%20'2','20509');" TargetMode="External"/><Relationship Id="rId99" Type="http://schemas.openxmlformats.org/officeDocument/2006/relationships/hyperlink" Target="javascript:displayMenu('select-arrow91','menuContact','190559','dashboard','true',%20'-1',%20'true',-1,'1',%20'2','20509');" TargetMode="External"/><Relationship Id="rId43" Type="http://schemas.openxmlformats.org/officeDocument/2006/relationships/hyperlink" Target="javascript:displayMenu('select-arrow81','menuContact','200253','dashboard','true',%20'-1',%20'true',-1,'1',%20'2','20418');" TargetMode="External"/><Relationship Id="rId44" Type="http://schemas.openxmlformats.org/officeDocument/2006/relationships/hyperlink" Target="javascript:displayMenu('select-arrow84','menuContact','229784','dashboard','true',%20'-1',%20'true',-1,'1',%20'9','20418');" TargetMode="External"/><Relationship Id="rId45" Type="http://schemas.openxmlformats.org/officeDocument/2006/relationships/hyperlink" Target="javascript:displayMenu('select-arrow85','menuContact','190722','dashboard','true',%20'-1',%20'true',-1,'1',%20'3','20418');" TargetMode="External"/><Relationship Id="rId46" Type="http://schemas.openxmlformats.org/officeDocument/2006/relationships/hyperlink" Target="javascript:displayMenu('select-arrow3','menuContact','163865','dashboard','true',%20'-1',%20'true',-1,'1',%20'3','20888');" TargetMode="External"/><Relationship Id="rId47" Type="http://schemas.openxmlformats.org/officeDocument/2006/relationships/hyperlink" Target="javascript:displayMenu('select-arrow7','menuContact','62772','dashboard','true',%20'-1',%20'true',-1,'1',%20'3','20888');" TargetMode="External"/><Relationship Id="rId48" Type="http://schemas.openxmlformats.org/officeDocument/2006/relationships/hyperlink" Target="javascript:displayMenu('select-arrow8','menuContact','163597','dashboard','true',%20'-1',%20'true',-1,'1',%20'3','20888');" TargetMode="External"/><Relationship Id="rId49" Type="http://schemas.openxmlformats.org/officeDocument/2006/relationships/hyperlink" Target="javascript:displayMenu('select-arrow10','menuContact','182088','dashboard','true',%20'-1',%20'true',-1,'1',%20'3','20888');" TargetMode="External"/><Relationship Id="rId100" Type="http://schemas.openxmlformats.org/officeDocument/2006/relationships/hyperlink" Target="javascript:displayMenu('select-arrow92','menuContact','215220','dashboard','true',%20'-1',%20'true',-1,'1',%20'9','20509');" TargetMode="External"/><Relationship Id="rId150" Type="http://schemas.openxmlformats.org/officeDocument/2006/relationships/hyperlink" Target="javascript:displayMenu('select-arrow146','menuContact','190544','dashboard','true',%20'-1',%20'true',-1,'1',%20'2','20509');" TargetMode="External"/><Relationship Id="rId151" Type="http://schemas.openxmlformats.org/officeDocument/2006/relationships/hyperlink" Target="javascript:displayMenu('select-arrow147','menuContact','228216','dashboard','true',%20'-1',%20'true',-1,'1',%20'9','20509');" TargetMode="External"/><Relationship Id="rId20" Type="http://schemas.openxmlformats.org/officeDocument/2006/relationships/hyperlink" Target="javascript:displayMenu('select-arrow44','menuContact','163652','dashboard','true',%20'-1',%20'true',-1,'1',%20'3','20418');" TargetMode="External"/><Relationship Id="rId21" Type="http://schemas.openxmlformats.org/officeDocument/2006/relationships/hyperlink" Target="javascript:displayMenu('select-arrow46','menuContact','186623','dashboard','true',%20'-1',%20'true',-1,'1',%20'3','20418');" TargetMode="External"/><Relationship Id="rId22" Type="http://schemas.openxmlformats.org/officeDocument/2006/relationships/hyperlink" Target="javascript:displayMenu('select-arrow47','menuContact','204862','dashboard','true',%20'-1',%20'true',-1,'1',%20'9','20418');" TargetMode="External"/><Relationship Id="rId70" Type="http://schemas.openxmlformats.org/officeDocument/2006/relationships/hyperlink" Target="javascript:displayMenu('select-arrow32','menuContact','190711','dashboard','true',%20'-1',%20'true',-1,'1',%20'2','20509');" TargetMode="External"/><Relationship Id="rId71" Type="http://schemas.openxmlformats.org/officeDocument/2006/relationships/hyperlink" Target="javascript:displayMenu('select-arrow35','menuContact','200448','dashboard','true',%20'-1',%20'true',-1,'1',%20'2','20509');" TargetMode="External"/><Relationship Id="rId72" Type="http://schemas.openxmlformats.org/officeDocument/2006/relationships/hyperlink" Target="javascript:displayMenu('select-arrow36','menuContact','194334','dashboard','true',%20'-1',%20'true',-1,'1',%20'2','20509');" TargetMode="External"/><Relationship Id="rId73" Type="http://schemas.openxmlformats.org/officeDocument/2006/relationships/hyperlink" Target="javascript:displayMenu('select-arrow37','menuContact','190629','dashboard','true',%20'-1',%20'true',-1,'1',%20'9','20509');" TargetMode="External"/><Relationship Id="rId74" Type="http://schemas.openxmlformats.org/officeDocument/2006/relationships/hyperlink" Target="javascript:displayMenu('select-arrow39','menuContact','168350','dashboard','true',%20'-1',%20'true',-1,'1',%20'9','20509');" TargetMode="External"/><Relationship Id="rId75" Type="http://schemas.openxmlformats.org/officeDocument/2006/relationships/hyperlink" Target="javascript:displayMenu('select-arrow41','menuContact','206835','dashboard','true',%20'-1',%20'true',-1,'1',%20'3','20509');" TargetMode="External"/><Relationship Id="rId76" Type="http://schemas.openxmlformats.org/officeDocument/2006/relationships/hyperlink" Target="javascript:displayMenu('select-arrow42','menuContact','190704','dashboard','true',%20'-1',%20'true',-1,'1',%20'3','20509');" TargetMode="External"/><Relationship Id="rId77" Type="http://schemas.openxmlformats.org/officeDocument/2006/relationships/hyperlink" Target="javascript:displayMenu('select-arrow43','menuContact','190603','dashboard','true',%20'-1',%20'true',-1,'1',%20'2','20509');" TargetMode="External"/><Relationship Id="rId78" Type="http://schemas.openxmlformats.org/officeDocument/2006/relationships/hyperlink" Target="javascript:displayMenu('select-arrow46','menuContact','200189','dashboard','true',%20'-1',%20'true',-1,'1',%20'2','20509');" TargetMode="External"/><Relationship Id="rId79" Type="http://schemas.openxmlformats.org/officeDocument/2006/relationships/hyperlink" Target="javascript:displayMenu('select-arrow53','menuContact','200272','dashboard','true',%20'-1',%20'true',-1,'1',%20'2','20509');" TargetMode="External"/><Relationship Id="rId23" Type="http://schemas.openxmlformats.org/officeDocument/2006/relationships/hyperlink" Target="javascript:displayMenu('select-arrow49','menuContact','200245','dashboard','true',%20'-1',%20'true',-1,'1',%20'2','20418');" TargetMode="External"/><Relationship Id="rId24" Type="http://schemas.openxmlformats.org/officeDocument/2006/relationships/hyperlink" Target="javascript:displayMenu('select-arrow50','menuContact','200337','dashboard','true',%20'-1',%20'true',-1,'1',%20'2','20418');" TargetMode="External"/><Relationship Id="rId25" Type="http://schemas.openxmlformats.org/officeDocument/2006/relationships/hyperlink" Target="javascript:displayMenu('select-arrow51','menuContact','200259','dashboard','true',%20'-1',%20'true',-1,'1',%20'2','20418');" TargetMode="External"/><Relationship Id="rId26" Type="http://schemas.openxmlformats.org/officeDocument/2006/relationships/hyperlink" Target="javascript:displayMenu('select-arrow57','menuContact','163630','dashboard','true',%20'-1',%20'true',-1,'1',%20'0','20418');" TargetMode="External"/><Relationship Id="rId27" Type="http://schemas.openxmlformats.org/officeDocument/2006/relationships/hyperlink" Target="javascript:displayMenu('select-arrow58','menuContact','218897','dashboard','true',%20'-1',%20'true',-1,'1',%20'3','20418');" TargetMode="External"/><Relationship Id="rId28" Type="http://schemas.openxmlformats.org/officeDocument/2006/relationships/hyperlink" Target="javascript:displayMenu('select-arrow59','menuContact','190576','dashboard','true',%20'-1',%20'true',-1,'1',%20'3','20418');" TargetMode="External"/><Relationship Id="rId29" Type="http://schemas.openxmlformats.org/officeDocument/2006/relationships/hyperlink" Target="javascript:displayMenu('select-arrow62','menuContact','164299','dashboard','true',%20'-1',%20'true',-1,'1',%20'3','20418');" TargetMode="External"/><Relationship Id="rId130" Type="http://schemas.openxmlformats.org/officeDocument/2006/relationships/hyperlink" Target="javascript:displayMenu('select-arrow141','menuContact','190552','dashboard','true',%20'-1',%20'true',-1,'1',%20'2','20509');" TargetMode="External"/><Relationship Id="rId131" Type="http://schemas.openxmlformats.org/officeDocument/2006/relationships/hyperlink" Target="javascript:displayMenu('select-arrow142','menuContact','190738','dashboard','true',%20'-1',%20'true',-1,'1',%20'3','20509');" TargetMode="External"/><Relationship Id="rId132" Type="http://schemas.openxmlformats.org/officeDocument/2006/relationships/hyperlink" Target="javascript:displayMenu('select-arrow143','menuContact','200365','dashboard','true',%20'-1',%20'true',-1,'1',%20'2','20509');" TargetMode="External"/><Relationship Id="rId133" Type="http://schemas.openxmlformats.org/officeDocument/2006/relationships/hyperlink" Target="javascript:displayMenu('select-arrow144','menuContact','190634','dashboard','true',%20'-1',%20'true',-1,'1',%20'3','20509');" TargetMode="External"/><Relationship Id="rId134" Type="http://schemas.openxmlformats.org/officeDocument/2006/relationships/hyperlink" Target="javascript:displayMenu('select-arrow67','menuContact','200442','dashboard','true',%20'-1',%20'true',-1,'1',%20'3','20418');" TargetMode="External"/><Relationship Id="rId135" Type="http://schemas.openxmlformats.org/officeDocument/2006/relationships/hyperlink" Target="javascript:displayMenu('select-arrow16','menuContact','190575','dashboard','true',%20'-1',%20'true',-1,'1',%20'3','20888');" TargetMode="External"/><Relationship Id="rId136" Type="http://schemas.openxmlformats.org/officeDocument/2006/relationships/hyperlink" Target="javascript:displayMenu('select-arrow52','menuContact','200425','dashboard','true',%20'-1',%20'true',-1,'1',%20'2','20509');" TargetMode="External"/><Relationship Id="rId137" Type="http://schemas.openxmlformats.org/officeDocument/2006/relationships/hyperlink" Target="javascript:displayMenu('select-arrow79','menuContact','190635','dashboard','true',%20'-1',%20'true',-1,'1',%20'3','20509');" TargetMode="External"/><Relationship Id="rId138" Type="http://schemas.openxmlformats.org/officeDocument/2006/relationships/hyperlink" Target="javascript:displayMenu('select-arrow80','menuContact','200445','dashboard','true',%20'-1',%20'true',-1,'1',%20'2','20509');" TargetMode="External"/><Relationship Id="rId139" Type="http://schemas.openxmlformats.org/officeDocument/2006/relationships/hyperlink" Target="javascript:displayMenu('select-arrow81','menuContact','190587','dashboard','true',%20'-1',%20'true',-1,'1',%20'2','20509');" TargetMode="External"/><Relationship Id="rId1" Type="http://schemas.openxmlformats.org/officeDocument/2006/relationships/hyperlink" Target="javascript:displayMenu('select-arrow13','menuContact','200342','dashboard','true',%20'-1',%20'true',-1,'1',%20'2','20418');" TargetMode="External"/><Relationship Id="rId2" Type="http://schemas.openxmlformats.org/officeDocument/2006/relationships/image" Target="../media/image1.gif"/><Relationship Id="rId3" Type="http://schemas.openxmlformats.org/officeDocument/2006/relationships/hyperlink" Target="javascript:displayMenu('select-arrow16','menuContact','190591','dashboard','true',%20'-1',%20'true',-1,'1',%20'3','20418');" TargetMode="External"/><Relationship Id="rId4" Type="http://schemas.openxmlformats.org/officeDocument/2006/relationships/hyperlink" Target="javascript:displayMenu('select-arrow18','menuContact','190716','dashboard','true',%20'-1',%20'true',-1,'1',%20'3','20418');" TargetMode="External"/><Relationship Id="rId5" Type="http://schemas.openxmlformats.org/officeDocument/2006/relationships/hyperlink" Target="javascript:displayMenu('select-arrow19','menuContact','168983','dashboard','true',%20'-1',%20'true',-1,'1',%20'3','20418');" TargetMode="External"/><Relationship Id="rId6" Type="http://schemas.openxmlformats.org/officeDocument/2006/relationships/hyperlink" Target="javascript:displayMenu('select-arrow21','menuContact','190622','dashboard','true',%20'-1',%20'true',-1,'1',%20'2','20418');" TargetMode="External"/><Relationship Id="rId7" Type="http://schemas.openxmlformats.org/officeDocument/2006/relationships/hyperlink" Target="javascript:displayMenu('select-arrow22','menuContact','200197','dashboard','true',%20'-1',%20'true',-1,'1',%20'0','20418');" TargetMode="External"/><Relationship Id="rId8" Type="http://schemas.openxmlformats.org/officeDocument/2006/relationships/hyperlink" Target="javascript:displayMenu('select-arrow27','menuContact','190777','dashboard','true',%20'-1',%20'true',-1,'1',%20'2','20418');" TargetMode="External"/><Relationship Id="rId9" Type="http://schemas.openxmlformats.org/officeDocument/2006/relationships/hyperlink" Target="javascript:displayMenu('select-arrow28','menuContact','99957','dashboard','true',%20'-1',%20'true',-1,'1',%20'2','20418');" TargetMode="External"/><Relationship Id="rId50" Type="http://schemas.openxmlformats.org/officeDocument/2006/relationships/hyperlink" Target="javascript:displayMenu('select-arrow12','menuContact','200421','dashboard','true',%20'-1',%20'true',-1,'1',%20'3','20888');" TargetMode="External"/><Relationship Id="rId51" Type="http://schemas.openxmlformats.org/officeDocument/2006/relationships/hyperlink" Target="javascript:displayMenu('select-arrow13','menuContact','195631','dashboard','true',%20'-1',%20'true',-1,'1',%20'3','20888');" TargetMode="External"/><Relationship Id="rId52" Type="http://schemas.openxmlformats.org/officeDocument/2006/relationships/hyperlink" Target="javascript:displayMenu('select-arrow14','menuContact','80289','dashboard','true',%20'-1',%20'true',-1,'1',%20'3','20888');" TargetMode="External"/><Relationship Id="rId53" Type="http://schemas.openxmlformats.org/officeDocument/2006/relationships/hyperlink" Target="javascript:displayMenu('select-arrow15','menuContact','144856','dashboard','true',%20'-1',%20'true',-1,'1',%20'3','20888');" TargetMode="External"/><Relationship Id="rId54" Type="http://schemas.openxmlformats.org/officeDocument/2006/relationships/hyperlink" Target="javascript:displayMenu('select-arrow22','menuContact','187409','dashboard','true',%20'-1',%20'true',-1,'1',%20'3','20888');" TargetMode="External"/><Relationship Id="rId55" Type="http://schemas.openxmlformats.org/officeDocument/2006/relationships/hyperlink" Target="javascript:displayMenu('select-arrow23','menuContact','200242','dashboard','true',%20'-1',%20'true',-1,'1',%20'3','20888');" TargetMode="External"/><Relationship Id="rId56" Type="http://schemas.openxmlformats.org/officeDocument/2006/relationships/hyperlink" Target="javascript:displayMenu('select-arrow4','menuContact','190556','dashboard','true',%20'-1',%20'true',-1,'1',%20'2','20509');" TargetMode="External"/><Relationship Id="rId57" Type="http://schemas.openxmlformats.org/officeDocument/2006/relationships/hyperlink" Target="javascript:displayMenu('select-arrow5','menuContact','200457','dashboard','true',%20'-1',%20'true',-1,'1',%20'2','20509');" TargetMode="External"/><Relationship Id="rId58" Type="http://schemas.openxmlformats.org/officeDocument/2006/relationships/hyperlink" Target="javascript:displayMenu('select-arrow6','menuContact','200453','dashboard','true',%20'-1',%20'true',-1,'1',%20'2','20509');" TargetMode="External"/><Relationship Id="rId59" Type="http://schemas.openxmlformats.org/officeDocument/2006/relationships/hyperlink" Target="javascript:displayMenu('select-arrow7','menuContact','200249','dashboard','true',%20'-1',%20'true',-1,'1',%20'2','20509');" TargetMode="External"/><Relationship Id="rId110" Type="http://schemas.openxmlformats.org/officeDocument/2006/relationships/hyperlink" Target="javascript:displayMenu('select-arrow107','menuContact','208387','dashboard','true',%20'-1',%20'true',-1,'1',%20'2','20509');" TargetMode="External"/><Relationship Id="rId111" Type="http://schemas.openxmlformats.org/officeDocument/2006/relationships/hyperlink" Target="javascript:displayMenu('select-arrow109','menuContact','200369','dashboard','true',%20'-1',%20'true',-1,'1',%20'2','20509');" TargetMode="External"/><Relationship Id="rId112" Type="http://schemas.openxmlformats.org/officeDocument/2006/relationships/hyperlink" Target="javascript:displayMenu('select-arrow110','menuContact','200438','dashboard','true',%20'-1',%20'true',-1,'1',%20'2','20509');" TargetMode="External"/><Relationship Id="rId113" Type="http://schemas.openxmlformats.org/officeDocument/2006/relationships/hyperlink" Target="javascript:displayMenu('select-arrow112','menuContact','198650','dashboard','true',%20'-1',%20'true',-1,'1',%20'2','20509');" TargetMode="External"/><Relationship Id="rId114" Type="http://schemas.openxmlformats.org/officeDocument/2006/relationships/hyperlink" Target="javascript:displayMenu('select-arrow113','menuContact','200341','dashboard','true',%20'-1',%20'true',-1,'1',%20'2','20509');" TargetMode="External"/><Relationship Id="rId115" Type="http://schemas.openxmlformats.org/officeDocument/2006/relationships/hyperlink" Target="javascript:displayMenu('select-arrow114','menuContact','213324','dashboard','true',%20'-1',%20'true',-1,'1',%20'9','20509');" TargetMode="External"/><Relationship Id="rId116" Type="http://schemas.openxmlformats.org/officeDocument/2006/relationships/hyperlink" Target="javascript:displayMenu('select-arrow117','menuContact','200361','dashboard','true',%20'-1',%20'true',-1,'1',%20'2','20509');" TargetMode="External"/><Relationship Id="rId117" Type="http://schemas.openxmlformats.org/officeDocument/2006/relationships/hyperlink" Target="javascript:displayMenu('select-arrow118','menuContact','200339','dashboard','true',%20'-1',%20'true',-1,'1',%20'2','20509');" TargetMode="External"/><Relationship Id="rId118" Type="http://schemas.openxmlformats.org/officeDocument/2006/relationships/hyperlink" Target="javascript:displayMenu('select-arrow119','menuContact','173900','dashboard','true',%20'-1',%20'true',-1,'1',%20'9','20509');" TargetMode="External"/><Relationship Id="rId119" Type="http://schemas.openxmlformats.org/officeDocument/2006/relationships/hyperlink" Target="javascript:displayMenu('select-arrow120','menuContact','209291','dashboard','true',%20'-1',%20'true',-1,'1',%20'9','20509');" TargetMode="External"/><Relationship Id="rId30" Type="http://schemas.openxmlformats.org/officeDocument/2006/relationships/hyperlink" Target="javascript:displayMenu('select-arrow63','menuContact','190720','dashboard','true',%20'-1',%20'true',-1,'1',%20'3','20418');" TargetMode="External"/><Relationship Id="rId31" Type="http://schemas.openxmlformats.org/officeDocument/2006/relationships/hyperlink" Target="javascript:displayMenu('select-arrow64','menuContact','200241','dashboard','true',%20'-1',%20'true',-1,'1',%20'0','20418');" TargetMode="External"/><Relationship Id="rId32" Type="http://schemas.openxmlformats.org/officeDocument/2006/relationships/hyperlink" Target="javascript:displayMenu('select-arrow65','menuContact','200213','dashboard','true',%20'-1',%20'true',-1,'1',%20'3','20418');" TargetMode="External"/><Relationship Id="rId33" Type="http://schemas.openxmlformats.org/officeDocument/2006/relationships/hyperlink" Target="javascript:displayMenu('select-arrow66','menuContact','190617','dashboard','true',%20'-1',%20'true',-1,'1',%20'2','20418');" TargetMode="External"/><Relationship Id="rId34" Type="http://schemas.openxmlformats.org/officeDocument/2006/relationships/hyperlink" Target="javascript:displayMenu('select-arrow68','menuContact','190616','dashboard','true',%20'-1',%20'true',-1,'1',%20'3','20418');" TargetMode="External"/><Relationship Id="rId35" Type="http://schemas.openxmlformats.org/officeDocument/2006/relationships/hyperlink" Target="javascript:displayMenu('select-arrow70','menuContact','200264','dashboard','true',%20'-1',%20'true',-1,'1',%20'2','20418');" TargetMode="External"/><Relationship Id="rId36" Type="http://schemas.openxmlformats.org/officeDocument/2006/relationships/hyperlink" Target="javascript:displayMenu('select-arrow71','menuContact','200358','dashboard','true',%20'-1',%20'true',-1,'1',%20'2','20418');" TargetMode="External"/><Relationship Id="rId37" Type="http://schemas.openxmlformats.org/officeDocument/2006/relationships/hyperlink" Target="javascript:displayMenu('select-arrow72','menuContact','163224','dashboard','true',%20'-1',%20'true',-1,'1',%20'1','20418');" TargetMode="External"/><Relationship Id="rId38" Type="http://schemas.openxmlformats.org/officeDocument/2006/relationships/hyperlink" Target="javascript:displayMenu('select-arrow75','menuContact','190683','dashboard','true',%20'-1',%20'true',-1,'1',%20'9','20418');" TargetMode="External"/><Relationship Id="rId39" Type="http://schemas.openxmlformats.org/officeDocument/2006/relationships/hyperlink" Target="javascript:displayMenu('select-arrow76','menuContact','71644','dashboard','true',%20'-1',%20'true',-1,'1',%20'3','20418');" TargetMode="External"/><Relationship Id="rId80" Type="http://schemas.openxmlformats.org/officeDocument/2006/relationships/hyperlink" Target="javascript:displayMenu('select-arrow55','menuContact','200443','dashboard','true',%20'-1',%20'true',-1,'1',%20'2','20509');" TargetMode="External"/><Relationship Id="rId81" Type="http://schemas.openxmlformats.org/officeDocument/2006/relationships/hyperlink" Target="javascript:displayMenu('select-arrow57','menuContact','200352','dashboard','true',%20'-1',%20'true',-1,'1',%20'2','20509');" TargetMode="External"/><Relationship Id="rId82" Type="http://schemas.openxmlformats.org/officeDocument/2006/relationships/hyperlink" Target="javascript:displayMenu('select-arrow60','menuContact','200097','dashboard','true',%20'-1',%20'true',-1,'1',%20'2','20509');" TargetMode="External"/><Relationship Id="rId83" Type="http://schemas.openxmlformats.org/officeDocument/2006/relationships/hyperlink" Target="javascript:displayMenu('select-arrow61','menuContact','200196','dashboard','true',%20'-1',%20'true',-1,'1',%20'2','20509');" TargetMode="External"/><Relationship Id="rId84" Type="http://schemas.openxmlformats.org/officeDocument/2006/relationships/hyperlink" Target="javascript:displayMenu('select-arrow66','menuContact','200205','dashboard','true',%20'-1',%20'true',-1,'1',%20'2','20509');" TargetMode="External"/><Relationship Id="rId85" Type="http://schemas.openxmlformats.org/officeDocument/2006/relationships/hyperlink" Target="javascript:displayMenu('select-arrow67','menuContact','190564','dashboard','true',%20'-1',%20'true',-1,'1',%20'2','20509');" TargetMode="External"/><Relationship Id="rId86" Type="http://schemas.openxmlformats.org/officeDocument/2006/relationships/hyperlink" Target="javascript:displayMenu('select-arrow68','menuContact','190655','dashboard','true',%20'-1',%20'true',-1,'1',%20'3','20509');" TargetMode="External"/><Relationship Id="rId87" Type="http://schemas.openxmlformats.org/officeDocument/2006/relationships/hyperlink" Target="javascript:displayMenu('select-arrow71','menuContact','117983','dashboard','true',%20'-1',%20'true',-1,'1',%20'3','20509');" TargetMode="External"/><Relationship Id="rId88" Type="http://schemas.openxmlformats.org/officeDocument/2006/relationships/hyperlink" Target="javascript:displayMenu('select-arrow72','menuContact','200206','dashboard','true',%20'-1',%20'true',-1,'1',%20'3','20509');" TargetMode="External"/><Relationship Id="rId89" Type="http://schemas.openxmlformats.org/officeDocument/2006/relationships/hyperlink" Target="javascript:displayMenu('select-arrow73','menuContact','190645','dashboard','true',%20'-1',%20'true',-1,'1',%20'3','20509');" TargetMode="External"/><Relationship Id="rId140" Type="http://schemas.openxmlformats.org/officeDocument/2006/relationships/hyperlink" Target="javascript:displayMenu('select-arrow96','menuContact','190608','dashboard','true',%20'-1',%20'true',-1,'1',%20'2','20509');" TargetMode="External"/><Relationship Id="rId141" Type="http://schemas.openxmlformats.org/officeDocument/2006/relationships/hyperlink" Target="javascript:displayMenu('select-arrow106','menuContact','200103','dashboard','true',%20'-1',%20'true',-1,'1',%20'2','20509');" TargetMode="External"/><Relationship Id="rId142" Type="http://schemas.openxmlformats.org/officeDocument/2006/relationships/hyperlink" Target="javascript:displayMenu('select-arrow116','menuContact','200357','dashboard','true',%20'-1',%20'true',-1,'1',%20'2','20509');" TargetMode="External"/><Relationship Id="rId143" Type="http://schemas.openxmlformats.org/officeDocument/2006/relationships/hyperlink" Target="javascript:displayMenu('select-arrow123','menuContact','190709','dashboard','true',%20'-1',%20'true',-1,'1',%20'3','20509');" TargetMode="External"/><Relationship Id="rId144" Type="http://schemas.openxmlformats.org/officeDocument/2006/relationships/hyperlink" Target="javascript:displayMenu('select-arrow126','menuContact','200440','dashboard','true',%20'-1',%20'true',-1,'1',%20'2','20509');" TargetMode="External"/><Relationship Id="rId145" Type="http://schemas.openxmlformats.org/officeDocument/2006/relationships/hyperlink" Target="javascript:displayMenu('select-arrow130','menuContact','200252','dashboard','true',%20'-1',%20'true',-1,'1',%20'2','20509');" TargetMode="External"/><Relationship Id="rId146" Type="http://schemas.openxmlformats.org/officeDocument/2006/relationships/hyperlink" Target="javascript:displayMenu('select-arrow137','menuContact','190653','dashboard','true',%20'-1',%20'true',-1,'1',%20'3','20509');" TargetMode="External"/><Relationship Id="rId147" Type="http://schemas.openxmlformats.org/officeDocument/2006/relationships/hyperlink" Target="javascript:displayMenu('select-arrow139','menuContact','227835','dashboard','true',%20'-1',%20'true',-1,'1',%20'2','20509');" TargetMode="External"/><Relationship Id="rId148" Type="http://schemas.openxmlformats.org/officeDocument/2006/relationships/hyperlink" Target="javascript:displayMenu('select-arrow140','menuContact','190677','dashboard','true',%20'-1',%20'true',-1,'1',%20'3','20509');" TargetMode="External"/><Relationship Id="rId149" Type="http://schemas.openxmlformats.org/officeDocument/2006/relationships/hyperlink" Target="javascript:displayMenu('select-arrow145','menuContact','200046','dashboard','true',%20'-1',%20'true',-1,'1',%20'2','20509'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73</xdr:row>
      <xdr:rowOff>0</xdr:rowOff>
    </xdr:from>
    <xdr:to>
      <xdr:col>1</xdr:col>
      <xdr:colOff>152400</xdr:colOff>
      <xdr:row>74</xdr:row>
      <xdr:rowOff>142875</xdr:rowOff>
    </xdr:to>
    <xdr:pic>
      <xdr:nvPicPr>
        <xdr:cNvPr id="2" name="select-arrow13" descr="https://oneview.timesjobs.com/centric/images/select-arrow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8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74</xdr:row>
      <xdr:rowOff>0</xdr:rowOff>
    </xdr:from>
    <xdr:to>
      <xdr:col>1</xdr:col>
      <xdr:colOff>152400</xdr:colOff>
      <xdr:row>74</xdr:row>
      <xdr:rowOff>142875</xdr:rowOff>
    </xdr:to>
    <xdr:pic>
      <xdr:nvPicPr>
        <xdr:cNvPr id="3" name="select-arrow16" descr="https://oneview.timesjobs.com/centric/images/select-arrow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8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73</xdr:row>
      <xdr:rowOff>0</xdr:rowOff>
    </xdr:from>
    <xdr:to>
      <xdr:col>1</xdr:col>
      <xdr:colOff>152400</xdr:colOff>
      <xdr:row>75</xdr:row>
      <xdr:rowOff>142875</xdr:rowOff>
    </xdr:to>
    <xdr:pic>
      <xdr:nvPicPr>
        <xdr:cNvPr id="4" name="select-arrow18" descr="https://oneview.timesjobs.com/centric/images/select-arrow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74</xdr:row>
      <xdr:rowOff>0</xdr:rowOff>
    </xdr:from>
    <xdr:to>
      <xdr:col>1</xdr:col>
      <xdr:colOff>152400</xdr:colOff>
      <xdr:row>75</xdr:row>
      <xdr:rowOff>142875</xdr:rowOff>
    </xdr:to>
    <xdr:pic>
      <xdr:nvPicPr>
        <xdr:cNvPr id="5" name="select-arrow19" descr="https://oneview.timesjobs.com/centric/images/select-arrow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75</xdr:row>
      <xdr:rowOff>0</xdr:rowOff>
    </xdr:from>
    <xdr:to>
      <xdr:col>1</xdr:col>
      <xdr:colOff>152400</xdr:colOff>
      <xdr:row>75</xdr:row>
      <xdr:rowOff>142875</xdr:rowOff>
    </xdr:to>
    <xdr:pic>
      <xdr:nvPicPr>
        <xdr:cNvPr id="6" name="select-arrow21" descr="https://oneview.timesjobs.com/centric/images/select-arrow.gif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75</xdr:row>
      <xdr:rowOff>0</xdr:rowOff>
    </xdr:from>
    <xdr:to>
      <xdr:col>1</xdr:col>
      <xdr:colOff>152400</xdr:colOff>
      <xdr:row>75</xdr:row>
      <xdr:rowOff>142875</xdr:rowOff>
    </xdr:to>
    <xdr:pic>
      <xdr:nvPicPr>
        <xdr:cNvPr id="7" name="select-arrow22" descr="https://oneview.timesjobs.com/centric/images/select-arrow.gif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75</xdr:row>
      <xdr:rowOff>0</xdr:rowOff>
    </xdr:from>
    <xdr:to>
      <xdr:col>1</xdr:col>
      <xdr:colOff>152400</xdr:colOff>
      <xdr:row>75</xdr:row>
      <xdr:rowOff>142875</xdr:rowOff>
    </xdr:to>
    <xdr:pic>
      <xdr:nvPicPr>
        <xdr:cNvPr id="8" name="select-arrow27" descr="https://oneview.timesjobs.com/centric/images/select-arrow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76</xdr:row>
      <xdr:rowOff>0</xdr:rowOff>
    </xdr:from>
    <xdr:to>
      <xdr:col>1</xdr:col>
      <xdr:colOff>152400</xdr:colOff>
      <xdr:row>76</xdr:row>
      <xdr:rowOff>142875</xdr:rowOff>
    </xdr:to>
    <xdr:pic>
      <xdr:nvPicPr>
        <xdr:cNvPr id="9" name="select-arrow28" descr="https://oneview.timesjobs.com/centric/images/select-arrow.gif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762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75</xdr:row>
      <xdr:rowOff>0</xdr:rowOff>
    </xdr:from>
    <xdr:to>
      <xdr:col>1</xdr:col>
      <xdr:colOff>152400</xdr:colOff>
      <xdr:row>77</xdr:row>
      <xdr:rowOff>142875</xdr:rowOff>
    </xdr:to>
    <xdr:pic>
      <xdr:nvPicPr>
        <xdr:cNvPr id="10" name="select-arrow29" descr="https://oneview.timesjobs.com/centric/images/select-arrow.gif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76</xdr:row>
      <xdr:rowOff>0</xdr:rowOff>
    </xdr:from>
    <xdr:to>
      <xdr:col>1</xdr:col>
      <xdr:colOff>152400</xdr:colOff>
      <xdr:row>77</xdr:row>
      <xdr:rowOff>142875</xdr:rowOff>
    </xdr:to>
    <xdr:pic>
      <xdr:nvPicPr>
        <xdr:cNvPr id="11" name="select-arrow31" descr="https://oneview.timesjobs.com/centric/images/select-arrow.gif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76</xdr:row>
      <xdr:rowOff>0</xdr:rowOff>
    </xdr:from>
    <xdr:to>
      <xdr:col>1</xdr:col>
      <xdr:colOff>152400</xdr:colOff>
      <xdr:row>77</xdr:row>
      <xdr:rowOff>142875</xdr:rowOff>
    </xdr:to>
    <xdr:pic>
      <xdr:nvPicPr>
        <xdr:cNvPr id="12" name="select-arrow32" descr="https://oneview.timesjobs.com/centric/images/select-arrow.gif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77</xdr:row>
      <xdr:rowOff>0</xdr:rowOff>
    </xdr:from>
    <xdr:to>
      <xdr:col>1</xdr:col>
      <xdr:colOff>152400</xdr:colOff>
      <xdr:row>77</xdr:row>
      <xdr:rowOff>142875</xdr:rowOff>
    </xdr:to>
    <xdr:pic>
      <xdr:nvPicPr>
        <xdr:cNvPr id="13" name="select-arrow33" descr="https://oneview.timesjobs.com/centric/images/select-arrow.gif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77</xdr:row>
      <xdr:rowOff>0</xdr:rowOff>
    </xdr:from>
    <xdr:to>
      <xdr:col>1</xdr:col>
      <xdr:colOff>152400</xdr:colOff>
      <xdr:row>78</xdr:row>
      <xdr:rowOff>142875</xdr:rowOff>
    </xdr:to>
    <xdr:pic>
      <xdr:nvPicPr>
        <xdr:cNvPr id="14" name="select-arrow34" descr="https://oneview.timesjobs.com/centric/images/select-arrow.gif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143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78</xdr:row>
      <xdr:rowOff>0</xdr:rowOff>
    </xdr:from>
    <xdr:to>
      <xdr:col>1</xdr:col>
      <xdr:colOff>152400</xdr:colOff>
      <xdr:row>78</xdr:row>
      <xdr:rowOff>142875</xdr:rowOff>
    </xdr:to>
    <xdr:pic>
      <xdr:nvPicPr>
        <xdr:cNvPr id="15" name="select-arrow37" descr="https://oneview.timesjobs.com/centric/images/select-arrow.gif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143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77</xdr:row>
      <xdr:rowOff>0</xdr:rowOff>
    </xdr:from>
    <xdr:to>
      <xdr:col>1</xdr:col>
      <xdr:colOff>152400</xdr:colOff>
      <xdr:row>79</xdr:row>
      <xdr:rowOff>142875</xdr:rowOff>
    </xdr:to>
    <xdr:pic>
      <xdr:nvPicPr>
        <xdr:cNvPr id="16" name="select-arrow39" descr="https://oneview.timesjobs.com/centric/images/select-arrow.gif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333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78</xdr:row>
      <xdr:rowOff>0</xdr:rowOff>
    </xdr:from>
    <xdr:to>
      <xdr:col>1</xdr:col>
      <xdr:colOff>152400</xdr:colOff>
      <xdr:row>79</xdr:row>
      <xdr:rowOff>142875</xdr:rowOff>
    </xdr:to>
    <xdr:pic>
      <xdr:nvPicPr>
        <xdr:cNvPr id="17" name="select-arrow40" descr="https://oneview.timesjobs.com/centric/images/select-arrow.gif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333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78</xdr:row>
      <xdr:rowOff>0</xdr:rowOff>
    </xdr:from>
    <xdr:to>
      <xdr:col>1</xdr:col>
      <xdr:colOff>152400</xdr:colOff>
      <xdr:row>79</xdr:row>
      <xdr:rowOff>142875</xdr:rowOff>
    </xdr:to>
    <xdr:pic>
      <xdr:nvPicPr>
        <xdr:cNvPr id="18" name="select-arrow41" descr="https://oneview.timesjobs.com/centric/images/select-arrow.gif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333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78</xdr:row>
      <xdr:rowOff>0</xdr:rowOff>
    </xdr:from>
    <xdr:to>
      <xdr:col>1</xdr:col>
      <xdr:colOff>152400</xdr:colOff>
      <xdr:row>79</xdr:row>
      <xdr:rowOff>142875</xdr:rowOff>
    </xdr:to>
    <xdr:pic>
      <xdr:nvPicPr>
        <xdr:cNvPr id="19" name="select-arrow42" descr="https://oneview.timesjobs.com/centric/images/select-arrow.gif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333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79</xdr:row>
      <xdr:rowOff>0</xdr:rowOff>
    </xdr:from>
    <xdr:to>
      <xdr:col>1</xdr:col>
      <xdr:colOff>152400</xdr:colOff>
      <xdr:row>79</xdr:row>
      <xdr:rowOff>142875</xdr:rowOff>
    </xdr:to>
    <xdr:pic>
      <xdr:nvPicPr>
        <xdr:cNvPr id="20" name="select-arrow44" descr="https://oneview.timesjobs.com/centric/images/select-arrow.gif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333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80</xdr:row>
      <xdr:rowOff>0</xdr:rowOff>
    </xdr:from>
    <xdr:to>
      <xdr:col>1</xdr:col>
      <xdr:colOff>152400</xdr:colOff>
      <xdr:row>80</xdr:row>
      <xdr:rowOff>142875</xdr:rowOff>
    </xdr:to>
    <xdr:pic>
      <xdr:nvPicPr>
        <xdr:cNvPr id="21" name="select-arrow46" descr="https://oneview.timesjobs.com/centric/images/select-arrow.gif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524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80</xdr:row>
      <xdr:rowOff>0</xdr:rowOff>
    </xdr:from>
    <xdr:to>
      <xdr:col>1</xdr:col>
      <xdr:colOff>152400</xdr:colOff>
      <xdr:row>80</xdr:row>
      <xdr:rowOff>142875</xdr:rowOff>
    </xdr:to>
    <xdr:pic>
      <xdr:nvPicPr>
        <xdr:cNvPr id="22" name="select-arrow47" descr="https://oneview.timesjobs.com/centric/images/select-arrow.gif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524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81</xdr:row>
      <xdr:rowOff>0</xdr:rowOff>
    </xdr:from>
    <xdr:to>
      <xdr:col>1</xdr:col>
      <xdr:colOff>152400</xdr:colOff>
      <xdr:row>81</xdr:row>
      <xdr:rowOff>142875</xdr:rowOff>
    </xdr:to>
    <xdr:pic>
      <xdr:nvPicPr>
        <xdr:cNvPr id="23" name="select-arrow49" descr="https://oneview.timesjobs.com/centric/images/select-arrow.gif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714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81</xdr:row>
      <xdr:rowOff>0</xdr:rowOff>
    </xdr:from>
    <xdr:to>
      <xdr:col>1</xdr:col>
      <xdr:colOff>152400</xdr:colOff>
      <xdr:row>82</xdr:row>
      <xdr:rowOff>142875</xdr:rowOff>
    </xdr:to>
    <xdr:pic>
      <xdr:nvPicPr>
        <xdr:cNvPr id="24" name="select-arrow50" descr="https://oneview.timesjobs.com/centric/images/select-arrow.gif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90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82</xdr:row>
      <xdr:rowOff>0</xdr:rowOff>
    </xdr:from>
    <xdr:to>
      <xdr:col>1</xdr:col>
      <xdr:colOff>152400</xdr:colOff>
      <xdr:row>82</xdr:row>
      <xdr:rowOff>142875</xdr:rowOff>
    </xdr:to>
    <xdr:pic>
      <xdr:nvPicPr>
        <xdr:cNvPr id="25" name="select-arrow51" descr="https://oneview.timesjobs.com/centric/images/select-arrow.gif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90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83</xdr:row>
      <xdr:rowOff>0</xdr:rowOff>
    </xdr:from>
    <xdr:to>
      <xdr:col>1</xdr:col>
      <xdr:colOff>152400</xdr:colOff>
      <xdr:row>83</xdr:row>
      <xdr:rowOff>142875</xdr:rowOff>
    </xdr:to>
    <xdr:pic>
      <xdr:nvPicPr>
        <xdr:cNvPr id="26" name="select-arrow57" descr="https://oneview.timesjobs.com/centric/images/select-arrow.gif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095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83</xdr:row>
      <xdr:rowOff>0</xdr:rowOff>
    </xdr:from>
    <xdr:to>
      <xdr:col>1</xdr:col>
      <xdr:colOff>152400</xdr:colOff>
      <xdr:row>84</xdr:row>
      <xdr:rowOff>142875</xdr:rowOff>
    </xdr:to>
    <xdr:pic>
      <xdr:nvPicPr>
        <xdr:cNvPr id="27" name="select-arrow58" descr="https://oneview.timesjobs.com/centric/images/select-arrow.gif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28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84</xdr:row>
      <xdr:rowOff>0</xdr:rowOff>
    </xdr:from>
    <xdr:to>
      <xdr:col>1</xdr:col>
      <xdr:colOff>152400</xdr:colOff>
      <xdr:row>84</xdr:row>
      <xdr:rowOff>142875</xdr:rowOff>
    </xdr:to>
    <xdr:pic>
      <xdr:nvPicPr>
        <xdr:cNvPr id="28" name="select-arrow59" descr="https://oneview.timesjobs.com/centric/images/select-arrow.gif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28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84</xdr:row>
      <xdr:rowOff>0</xdr:rowOff>
    </xdr:from>
    <xdr:to>
      <xdr:col>1</xdr:col>
      <xdr:colOff>152400</xdr:colOff>
      <xdr:row>85</xdr:row>
      <xdr:rowOff>142875</xdr:rowOff>
    </xdr:to>
    <xdr:pic>
      <xdr:nvPicPr>
        <xdr:cNvPr id="29" name="select-arrow62" descr="https://oneview.timesjobs.com/centric/images/select-arrow.gif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476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85</xdr:row>
      <xdr:rowOff>0</xdr:rowOff>
    </xdr:from>
    <xdr:to>
      <xdr:col>1</xdr:col>
      <xdr:colOff>152400</xdr:colOff>
      <xdr:row>85</xdr:row>
      <xdr:rowOff>142875</xdr:rowOff>
    </xdr:to>
    <xdr:pic>
      <xdr:nvPicPr>
        <xdr:cNvPr id="30" name="select-arrow63" descr="https://oneview.timesjobs.com/centric/images/select-arrow.gif">
          <a:hlinkClick xmlns:r="http://schemas.openxmlformats.org/officeDocument/2006/relationships" r:id="rId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476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85</xdr:row>
      <xdr:rowOff>0</xdr:rowOff>
    </xdr:from>
    <xdr:to>
      <xdr:col>1</xdr:col>
      <xdr:colOff>152400</xdr:colOff>
      <xdr:row>86</xdr:row>
      <xdr:rowOff>142875</xdr:rowOff>
    </xdr:to>
    <xdr:pic>
      <xdr:nvPicPr>
        <xdr:cNvPr id="31" name="select-arrow64" descr="https://oneview.timesjobs.com/centric/images/select-arrow.gif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667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85</xdr:row>
      <xdr:rowOff>0</xdr:rowOff>
    </xdr:from>
    <xdr:to>
      <xdr:col>1</xdr:col>
      <xdr:colOff>152400</xdr:colOff>
      <xdr:row>86</xdr:row>
      <xdr:rowOff>142875</xdr:rowOff>
    </xdr:to>
    <xdr:pic>
      <xdr:nvPicPr>
        <xdr:cNvPr id="32" name="select-arrow65" descr="https://oneview.timesjobs.com/centric/images/select-arrow.gif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667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86</xdr:row>
      <xdr:rowOff>0</xdr:rowOff>
    </xdr:from>
    <xdr:to>
      <xdr:col>1</xdr:col>
      <xdr:colOff>152400</xdr:colOff>
      <xdr:row>86</xdr:row>
      <xdr:rowOff>142875</xdr:rowOff>
    </xdr:to>
    <xdr:pic>
      <xdr:nvPicPr>
        <xdr:cNvPr id="33" name="select-arrow66" descr="https://oneview.timesjobs.com/centric/images/select-arrow.gif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667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87</xdr:row>
      <xdr:rowOff>0</xdr:rowOff>
    </xdr:from>
    <xdr:to>
      <xdr:col>1</xdr:col>
      <xdr:colOff>152400</xdr:colOff>
      <xdr:row>87</xdr:row>
      <xdr:rowOff>142875</xdr:rowOff>
    </xdr:to>
    <xdr:pic>
      <xdr:nvPicPr>
        <xdr:cNvPr id="34" name="select-arrow68" descr="https://oneview.timesjobs.com/centric/images/select-arrow.gif">
          <a:hlinkClick xmlns:r="http://schemas.openxmlformats.org/officeDocument/2006/relationships" r:id="rId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857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86</xdr:row>
      <xdr:rowOff>0</xdr:rowOff>
    </xdr:from>
    <xdr:to>
      <xdr:col>1</xdr:col>
      <xdr:colOff>152400</xdr:colOff>
      <xdr:row>88</xdr:row>
      <xdr:rowOff>142875</xdr:rowOff>
    </xdr:to>
    <xdr:pic>
      <xdr:nvPicPr>
        <xdr:cNvPr id="35" name="select-arrow70" descr="https://oneview.timesjobs.com/centric/images/select-arrow.gif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04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87</xdr:row>
      <xdr:rowOff>0</xdr:rowOff>
    </xdr:from>
    <xdr:to>
      <xdr:col>1</xdr:col>
      <xdr:colOff>152400</xdr:colOff>
      <xdr:row>88</xdr:row>
      <xdr:rowOff>142875</xdr:rowOff>
    </xdr:to>
    <xdr:pic>
      <xdr:nvPicPr>
        <xdr:cNvPr id="36" name="select-arrow71" descr="https://oneview.timesjobs.com/centric/images/select-arrow.gif">
          <a:hlinkClick xmlns:r="http://schemas.openxmlformats.org/officeDocument/2006/relationships" r:id="rId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04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88</xdr:row>
      <xdr:rowOff>0</xdr:rowOff>
    </xdr:from>
    <xdr:to>
      <xdr:col>1</xdr:col>
      <xdr:colOff>152400</xdr:colOff>
      <xdr:row>88</xdr:row>
      <xdr:rowOff>142875</xdr:rowOff>
    </xdr:to>
    <xdr:pic>
      <xdr:nvPicPr>
        <xdr:cNvPr id="37" name="select-arrow72" descr="https://oneview.timesjobs.com/centric/images/select-arrow.gif">
          <a:hlinkClick xmlns:r="http://schemas.openxmlformats.org/officeDocument/2006/relationships" r:id="rId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04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88</xdr:row>
      <xdr:rowOff>0</xdr:rowOff>
    </xdr:from>
    <xdr:to>
      <xdr:col>1</xdr:col>
      <xdr:colOff>152400</xdr:colOff>
      <xdr:row>89</xdr:row>
      <xdr:rowOff>142875</xdr:rowOff>
    </xdr:to>
    <xdr:pic>
      <xdr:nvPicPr>
        <xdr:cNvPr id="38" name="select-arrow75" descr="https://oneview.timesjobs.com/centric/images/select-arrow.gif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238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89</xdr:row>
      <xdr:rowOff>0</xdr:rowOff>
    </xdr:from>
    <xdr:to>
      <xdr:col>1</xdr:col>
      <xdr:colOff>152400</xdr:colOff>
      <xdr:row>89</xdr:row>
      <xdr:rowOff>142875</xdr:rowOff>
    </xdr:to>
    <xdr:pic>
      <xdr:nvPicPr>
        <xdr:cNvPr id="39" name="select-arrow76" descr="https://oneview.timesjobs.com/centric/images/select-arrow.gif">
          <a:hlinkClick xmlns:r="http://schemas.openxmlformats.org/officeDocument/2006/relationships" r:id="rId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238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85</xdr:row>
      <xdr:rowOff>0</xdr:rowOff>
    </xdr:from>
    <xdr:to>
      <xdr:col>1</xdr:col>
      <xdr:colOff>152400</xdr:colOff>
      <xdr:row>90</xdr:row>
      <xdr:rowOff>142875</xdr:rowOff>
    </xdr:to>
    <xdr:pic>
      <xdr:nvPicPr>
        <xdr:cNvPr id="40" name="select-arrow78" descr="https://oneview.timesjobs.com/centric/images/select-arrow.gif">
          <a:hlinkClick xmlns:r="http://schemas.openxmlformats.org/officeDocument/2006/relationships" r:id="rId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429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86</xdr:row>
      <xdr:rowOff>0</xdr:rowOff>
    </xdr:from>
    <xdr:to>
      <xdr:col>1</xdr:col>
      <xdr:colOff>152400</xdr:colOff>
      <xdr:row>90</xdr:row>
      <xdr:rowOff>142875</xdr:rowOff>
    </xdr:to>
    <xdr:pic>
      <xdr:nvPicPr>
        <xdr:cNvPr id="41" name="select-arrow79" descr="https://oneview.timesjobs.com/centric/images/select-arrow.gif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429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86</xdr:row>
      <xdr:rowOff>0</xdr:rowOff>
    </xdr:from>
    <xdr:to>
      <xdr:col>1</xdr:col>
      <xdr:colOff>152400</xdr:colOff>
      <xdr:row>90</xdr:row>
      <xdr:rowOff>142875</xdr:rowOff>
    </xdr:to>
    <xdr:pic>
      <xdr:nvPicPr>
        <xdr:cNvPr id="42" name="select-arrow80" descr="https://oneview.timesjobs.com/centric/images/select-arrow.gif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429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87</xdr:row>
      <xdr:rowOff>0</xdr:rowOff>
    </xdr:from>
    <xdr:to>
      <xdr:col>1</xdr:col>
      <xdr:colOff>152400</xdr:colOff>
      <xdr:row>90</xdr:row>
      <xdr:rowOff>142875</xdr:rowOff>
    </xdr:to>
    <xdr:pic>
      <xdr:nvPicPr>
        <xdr:cNvPr id="43" name="select-arrow81" descr="https://oneview.timesjobs.com/centric/images/select-arrow.gif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429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88</xdr:row>
      <xdr:rowOff>0</xdr:rowOff>
    </xdr:from>
    <xdr:to>
      <xdr:col>1</xdr:col>
      <xdr:colOff>152400</xdr:colOff>
      <xdr:row>90</xdr:row>
      <xdr:rowOff>142875</xdr:rowOff>
    </xdr:to>
    <xdr:pic>
      <xdr:nvPicPr>
        <xdr:cNvPr id="44" name="select-arrow84" descr="https://oneview.timesjobs.com/centric/images/select-arrow.gif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429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89</xdr:row>
      <xdr:rowOff>0</xdr:rowOff>
    </xdr:from>
    <xdr:to>
      <xdr:col>1</xdr:col>
      <xdr:colOff>152400</xdr:colOff>
      <xdr:row>90</xdr:row>
      <xdr:rowOff>142875</xdr:rowOff>
    </xdr:to>
    <xdr:pic>
      <xdr:nvPicPr>
        <xdr:cNvPr id="45" name="select-arrow85" descr="https://oneview.timesjobs.com/centric/images/select-arrow.gif">
          <a:hlinkClick xmlns:r="http://schemas.openxmlformats.org/officeDocument/2006/relationships" r:id="rId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429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90</xdr:row>
      <xdr:rowOff>0</xdr:rowOff>
    </xdr:from>
    <xdr:to>
      <xdr:col>1</xdr:col>
      <xdr:colOff>152400</xdr:colOff>
      <xdr:row>90</xdr:row>
      <xdr:rowOff>142875</xdr:rowOff>
    </xdr:to>
    <xdr:pic>
      <xdr:nvPicPr>
        <xdr:cNvPr id="46" name="select-arrow3" descr="https://oneview.timesjobs.com/centric/images/select-arrow.gif">
          <a:hlinkClick xmlns:r="http://schemas.openxmlformats.org/officeDocument/2006/relationships" r:id="rId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429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88</xdr:row>
      <xdr:rowOff>0</xdr:rowOff>
    </xdr:from>
    <xdr:to>
      <xdr:col>1</xdr:col>
      <xdr:colOff>152400</xdr:colOff>
      <xdr:row>91</xdr:row>
      <xdr:rowOff>142875</xdr:rowOff>
    </xdr:to>
    <xdr:pic>
      <xdr:nvPicPr>
        <xdr:cNvPr id="47" name="select-arrow7" descr="https://oneview.timesjobs.com/centric/images/select-arrow.gif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619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89</xdr:row>
      <xdr:rowOff>0</xdr:rowOff>
    </xdr:from>
    <xdr:to>
      <xdr:col>1</xdr:col>
      <xdr:colOff>152400</xdr:colOff>
      <xdr:row>91</xdr:row>
      <xdr:rowOff>142875</xdr:rowOff>
    </xdr:to>
    <xdr:pic>
      <xdr:nvPicPr>
        <xdr:cNvPr id="48" name="select-arrow8" descr="https://oneview.timesjobs.com/centric/images/select-arrow.gif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619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90</xdr:row>
      <xdr:rowOff>0</xdr:rowOff>
    </xdr:from>
    <xdr:to>
      <xdr:col>1</xdr:col>
      <xdr:colOff>152400</xdr:colOff>
      <xdr:row>91</xdr:row>
      <xdr:rowOff>142875</xdr:rowOff>
    </xdr:to>
    <xdr:pic>
      <xdr:nvPicPr>
        <xdr:cNvPr id="49" name="select-arrow10" descr="https://oneview.timesjobs.com/centric/images/select-arrow.gif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619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91</xdr:row>
      <xdr:rowOff>0</xdr:rowOff>
    </xdr:from>
    <xdr:to>
      <xdr:col>1</xdr:col>
      <xdr:colOff>152400</xdr:colOff>
      <xdr:row>91</xdr:row>
      <xdr:rowOff>142875</xdr:rowOff>
    </xdr:to>
    <xdr:pic>
      <xdr:nvPicPr>
        <xdr:cNvPr id="50" name="select-arrow12" descr="https://oneview.timesjobs.com/centric/images/select-arrow.gif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619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92</xdr:row>
      <xdr:rowOff>0</xdr:rowOff>
    </xdr:from>
    <xdr:to>
      <xdr:col>1</xdr:col>
      <xdr:colOff>152400</xdr:colOff>
      <xdr:row>92</xdr:row>
      <xdr:rowOff>142875</xdr:rowOff>
    </xdr:to>
    <xdr:pic>
      <xdr:nvPicPr>
        <xdr:cNvPr id="51" name="select-arrow13" descr="https://oneview.timesjobs.com/centric/images/select-arrow.gif">
          <a:hlinkClick xmlns:r="http://schemas.openxmlformats.org/officeDocument/2006/relationships" r:id="rId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3810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91</xdr:row>
      <xdr:rowOff>0</xdr:rowOff>
    </xdr:from>
    <xdr:to>
      <xdr:col>1</xdr:col>
      <xdr:colOff>152400</xdr:colOff>
      <xdr:row>93</xdr:row>
      <xdr:rowOff>142875</xdr:rowOff>
    </xdr:to>
    <xdr:pic>
      <xdr:nvPicPr>
        <xdr:cNvPr id="52" name="select-arrow14" descr="https://oneview.timesjobs.com/centric/images/select-arrow.gif">
          <a:hlinkClick xmlns:r="http://schemas.openxmlformats.org/officeDocument/2006/relationships" r:id="rId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00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92</xdr:row>
      <xdr:rowOff>0</xdr:rowOff>
    </xdr:from>
    <xdr:to>
      <xdr:col>1</xdr:col>
      <xdr:colOff>152400</xdr:colOff>
      <xdr:row>93</xdr:row>
      <xdr:rowOff>142875</xdr:rowOff>
    </xdr:to>
    <xdr:pic>
      <xdr:nvPicPr>
        <xdr:cNvPr id="53" name="select-arrow15" descr="https://oneview.timesjobs.com/centric/images/select-arrow.gif">
          <a:hlinkClick xmlns:r="http://schemas.openxmlformats.org/officeDocument/2006/relationships" r:id="rId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00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93</xdr:row>
      <xdr:rowOff>0</xdr:rowOff>
    </xdr:from>
    <xdr:to>
      <xdr:col>1</xdr:col>
      <xdr:colOff>152400</xdr:colOff>
      <xdr:row>93</xdr:row>
      <xdr:rowOff>142875</xdr:rowOff>
    </xdr:to>
    <xdr:pic>
      <xdr:nvPicPr>
        <xdr:cNvPr id="54" name="select-arrow22" descr="https://oneview.timesjobs.com/centric/images/select-arrow.gif">
          <a:hlinkClick xmlns:r="http://schemas.openxmlformats.org/officeDocument/2006/relationships" r:id="rId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00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93</xdr:row>
      <xdr:rowOff>0</xdr:rowOff>
    </xdr:from>
    <xdr:to>
      <xdr:col>1</xdr:col>
      <xdr:colOff>152400</xdr:colOff>
      <xdr:row>93</xdr:row>
      <xdr:rowOff>142875</xdr:rowOff>
    </xdr:to>
    <xdr:pic>
      <xdr:nvPicPr>
        <xdr:cNvPr id="55" name="select-arrow23" descr="https://oneview.timesjobs.com/centric/images/select-arrow.gif">
          <a:hlinkClick xmlns:r="http://schemas.openxmlformats.org/officeDocument/2006/relationships" r:id="rId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00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91</xdr:row>
      <xdr:rowOff>0</xdr:rowOff>
    </xdr:from>
    <xdr:to>
      <xdr:col>1</xdr:col>
      <xdr:colOff>152400</xdr:colOff>
      <xdr:row>94</xdr:row>
      <xdr:rowOff>142875</xdr:rowOff>
    </xdr:to>
    <xdr:pic>
      <xdr:nvPicPr>
        <xdr:cNvPr id="56" name="select-arrow4" descr="https://oneview.timesjobs.com/centric/images/select-arrow.gif">
          <a:hlinkClick xmlns:r="http://schemas.openxmlformats.org/officeDocument/2006/relationships" r:id="rId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19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92</xdr:row>
      <xdr:rowOff>0</xdr:rowOff>
    </xdr:from>
    <xdr:to>
      <xdr:col>1</xdr:col>
      <xdr:colOff>152400</xdr:colOff>
      <xdr:row>94</xdr:row>
      <xdr:rowOff>142875</xdr:rowOff>
    </xdr:to>
    <xdr:pic>
      <xdr:nvPicPr>
        <xdr:cNvPr id="57" name="select-arrow5" descr="https://oneview.timesjobs.com/centric/images/select-arrow.gif">
          <a:hlinkClick xmlns:r="http://schemas.openxmlformats.org/officeDocument/2006/relationships" r:id="rId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19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92</xdr:row>
      <xdr:rowOff>0</xdr:rowOff>
    </xdr:from>
    <xdr:to>
      <xdr:col>1</xdr:col>
      <xdr:colOff>152400</xdr:colOff>
      <xdr:row>94</xdr:row>
      <xdr:rowOff>142875</xdr:rowOff>
    </xdr:to>
    <xdr:pic>
      <xdr:nvPicPr>
        <xdr:cNvPr id="58" name="select-arrow6" descr="https://oneview.timesjobs.com/centric/images/select-arrow.gif">
          <a:hlinkClick xmlns:r="http://schemas.openxmlformats.org/officeDocument/2006/relationships" r:id="rId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19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93</xdr:row>
      <xdr:rowOff>0</xdr:rowOff>
    </xdr:from>
    <xdr:to>
      <xdr:col>1</xdr:col>
      <xdr:colOff>152400</xdr:colOff>
      <xdr:row>94</xdr:row>
      <xdr:rowOff>142875</xdr:rowOff>
    </xdr:to>
    <xdr:pic>
      <xdr:nvPicPr>
        <xdr:cNvPr id="59" name="select-arrow7" descr="https://oneview.timesjobs.com/centric/images/select-arrow.gif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19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93</xdr:row>
      <xdr:rowOff>0</xdr:rowOff>
    </xdr:from>
    <xdr:to>
      <xdr:col>1</xdr:col>
      <xdr:colOff>152400</xdr:colOff>
      <xdr:row>94</xdr:row>
      <xdr:rowOff>142875</xdr:rowOff>
    </xdr:to>
    <xdr:pic>
      <xdr:nvPicPr>
        <xdr:cNvPr id="60" name="select-arrow8" descr="https://oneview.timesjobs.com/centric/images/select-arrow.gif">
          <a:hlinkClick xmlns:r="http://schemas.openxmlformats.org/officeDocument/2006/relationships" r:id="rId6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19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94</xdr:row>
      <xdr:rowOff>0</xdr:rowOff>
    </xdr:from>
    <xdr:to>
      <xdr:col>1</xdr:col>
      <xdr:colOff>152400</xdr:colOff>
      <xdr:row>94</xdr:row>
      <xdr:rowOff>142875</xdr:rowOff>
    </xdr:to>
    <xdr:pic>
      <xdr:nvPicPr>
        <xdr:cNvPr id="61" name="select-arrow10" descr="https://oneview.timesjobs.com/centric/images/select-arrow.gif">
          <a:hlinkClick xmlns:r="http://schemas.openxmlformats.org/officeDocument/2006/relationships" r:id="rId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19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94</xdr:row>
      <xdr:rowOff>0</xdr:rowOff>
    </xdr:from>
    <xdr:to>
      <xdr:col>1</xdr:col>
      <xdr:colOff>152400</xdr:colOff>
      <xdr:row>94</xdr:row>
      <xdr:rowOff>142875</xdr:rowOff>
    </xdr:to>
    <xdr:pic>
      <xdr:nvPicPr>
        <xdr:cNvPr id="62" name="select-arrow11" descr="https://oneview.timesjobs.com/centric/images/select-arrow.gif">
          <a:hlinkClick xmlns:r="http://schemas.openxmlformats.org/officeDocument/2006/relationships" r:id="rId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19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94</xdr:row>
      <xdr:rowOff>0</xdr:rowOff>
    </xdr:from>
    <xdr:to>
      <xdr:col>1</xdr:col>
      <xdr:colOff>152400</xdr:colOff>
      <xdr:row>94</xdr:row>
      <xdr:rowOff>142875</xdr:rowOff>
    </xdr:to>
    <xdr:pic>
      <xdr:nvPicPr>
        <xdr:cNvPr id="63" name="select-arrow12" descr="https://oneview.timesjobs.com/centric/images/select-arrow.gif">
          <a:hlinkClick xmlns:r="http://schemas.openxmlformats.org/officeDocument/2006/relationships" r:id="rId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19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94</xdr:row>
      <xdr:rowOff>0</xdr:rowOff>
    </xdr:from>
    <xdr:to>
      <xdr:col>1</xdr:col>
      <xdr:colOff>152400</xdr:colOff>
      <xdr:row>94</xdr:row>
      <xdr:rowOff>142875</xdr:rowOff>
    </xdr:to>
    <xdr:pic>
      <xdr:nvPicPr>
        <xdr:cNvPr id="64" name="select-arrow16" descr="https://oneview.timesjobs.com/centric/images/select-arrow.gif">
          <a:hlinkClick xmlns:r="http://schemas.openxmlformats.org/officeDocument/2006/relationships" r:id="rId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191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95</xdr:row>
      <xdr:rowOff>0</xdr:rowOff>
    </xdr:from>
    <xdr:to>
      <xdr:col>1</xdr:col>
      <xdr:colOff>152400</xdr:colOff>
      <xdr:row>95</xdr:row>
      <xdr:rowOff>142875</xdr:rowOff>
    </xdr:to>
    <xdr:pic>
      <xdr:nvPicPr>
        <xdr:cNvPr id="65" name="select-arrow25" descr="https://oneview.timesjobs.com/centric/images/select-arrow.gif">
          <a:hlinkClick xmlns:r="http://schemas.openxmlformats.org/officeDocument/2006/relationships" r:id="rId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381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94</xdr:row>
      <xdr:rowOff>0</xdr:rowOff>
    </xdr:from>
    <xdr:to>
      <xdr:col>1</xdr:col>
      <xdr:colOff>152400</xdr:colOff>
      <xdr:row>96</xdr:row>
      <xdr:rowOff>142875</xdr:rowOff>
    </xdr:to>
    <xdr:pic>
      <xdr:nvPicPr>
        <xdr:cNvPr id="66" name="select-arrow26" descr="https://oneview.timesjobs.com/centric/images/select-arrow.gif">
          <a:hlinkClick xmlns:r="http://schemas.openxmlformats.org/officeDocument/2006/relationships" r:id="rId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572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94</xdr:row>
      <xdr:rowOff>0</xdr:rowOff>
    </xdr:from>
    <xdr:to>
      <xdr:col>1</xdr:col>
      <xdr:colOff>152400</xdr:colOff>
      <xdr:row>96</xdr:row>
      <xdr:rowOff>142875</xdr:rowOff>
    </xdr:to>
    <xdr:pic>
      <xdr:nvPicPr>
        <xdr:cNvPr id="67" name="select-arrow28" descr="https://oneview.timesjobs.com/centric/images/select-arrow.gif">
          <a:hlinkClick xmlns:r="http://schemas.openxmlformats.org/officeDocument/2006/relationships" r:id="rId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572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95</xdr:row>
      <xdr:rowOff>0</xdr:rowOff>
    </xdr:from>
    <xdr:to>
      <xdr:col>1</xdr:col>
      <xdr:colOff>152400</xdr:colOff>
      <xdr:row>96</xdr:row>
      <xdr:rowOff>142875</xdr:rowOff>
    </xdr:to>
    <xdr:pic>
      <xdr:nvPicPr>
        <xdr:cNvPr id="68" name="select-arrow30" descr="https://oneview.timesjobs.com/centric/images/select-arrow.gif">
          <a:hlinkClick xmlns:r="http://schemas.openxmlformats.org/officeDocument/2006/relationships" r:id="rId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572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96</xdr:row>
      <xdr:rowOff>142875</xdr:rowOff>
    </xdr:to>
    <xdr:pic>
      <xdr:nvPicPr>
        <xdr:cNvPr id="69" name="select-arrow31" descr="https://oneview.timesjobs.com/centric/images/select-arrow.gif">
          <a:hlinkClick xmlns:r="http://schemas.openxmlformats.org/officeDocument/2006/relationships" r:id="rId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572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95</xdr:row>
      <xdr:rowOff>0</xdr:rowOff>
    </xdr:from>
    <xdr:to>
      <xdr:col>1</xdr:col>
      <xdr:colOff>152400</xdr:colOff>
      <xdr:row>97</xdr:row>
      <xdr:rowOff>142875</xdr:rowOff>
    </xdr:to>
    <xdr:pic>
      <xdr:nvPicPr>
        <xdr:cNvPr id="70" name="select-arrow32" descr="https://oneview.timesjobs.com/centric/images/select-arrow.gif">
          <a:hlinkClick xmlns:r="http://schemas.openxmlformats.org/officeDocument/2006/relationships" r:id="rId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99</xdr:row>
      <xdr:rowOff>28575</xdr:rowOff>
    </xdr:to>
    <xdr:pic>
      <xdr:nvPicPr>
        <xdr:cNvPr id="71" name="select-arrow35" descr="https://oneview.timesjobs.com/centric/images/select-arrow.gif">
          <a:hlinkClick xmlns:r="http://schemas.openxmlformats.org/officeDocument/2006/relationships" r:id="rId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409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97</xdr:row>
      <xdr:rowOff>142875</xdr:rowOff>
    </xdr:to>
    <xdr:pic>
      <xdr:nvPicPr>
        <xdr:cNvPr id="72" name="select-arrow36" descr="https://oneview.timesjobs.com/centric/images/select-arrow.gif">
          <a:hlinkClick xmlns:r="http://schemas.openxmlformats.org/officeDocument/2006/relationships" r:id="rId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97</xdr:row>
      <xdr:rowOff>142875</xdr:rowOff>
    </xdr:to>
    <xdr:pic>
      <xdr:nvPicPr>
        <xdr:cNvPr id="73" name="select-arrow37" descr="https://oneview.timesjobs.com/centric/images/select-arrow.gif">
          <a:hlinkClick xmlns:r="http://schemas.openxmlformats.org/officeDocument/2006/relationships" r:id="rId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97</xdr:row>
      <xdr:rowOff>142875</xdr:rowOff>
    </xdr:to>
    <xdr:pic>
      <xdr:nvPicPr>
        <xdr:cNvPr id="74" name="select-arrow39" descr="https://oneview.timesjobs.com/centric/images/select-arrow.gif">
          <a:hlinkClick xmlns:r="http://schemas.openxmlformats.org/officeDocument/2006/relationships" r:id="rId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97</xdr:row>
      <xdr:rowOff>142875</xdr:rowOff>
    </xdr:to>
    <xdr:pic>
      <xdr:nvPicPr>
        <xdr:cNvPr id="75" name="select-arrow41" descr="https://oneview.timesjobs.com/centric/images/select-arrow.gif">
          <a:hlinkClick xmlns:r="http://schemas.openxmlformats.org/officeDocument/2006/relationships" r:id="rId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97</xdr:row>
      <xdr:rowOff>142875</xdr:rowOff>
    </xdr:to>
    <xdr:pic>
      <xdr:nvPicPr>
        <xdr:cNvPr id="76" name="select-arrow42" descr="https://oneview.timesjobs.com/centric/images/select-arrow.gif">
          <a:hlinkClick xmlns:r="http://schemas.openxmlformats.org/officeDocument/2006/relationships" r:id="rId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97</xdr:row>
      <xdr:rowOff>142875</xdr:rowOff>
    </xdr:to>
    <xdr:pic>
      <xdr:nvPicPr>
        <xdr:cNvPr id="77" name="select-arrow43" descr="https://oneview.timesjobs.com/centric/images/select-arrow.gif">
          <a:hlinkClick xmlns:r="http://schemas.openxmlformats.org/officeDocument/2006/relationships" r:id="rId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97</xdr:row>
      <xdr:rowOff>142875</xdr:rowOff>
    </xdr:to>
    <xdr:pic>
      <xdr:nvPicPr>
        <xdr:cNvPr id="78" name="select-arrow46" descr="https://oneview.timesjobs.com/centric/images/select-arrow.gif">
          <a:hlinkClick xmlns:r="http://schemas.openxmlformats.org/officeDocument/2006/relationships" r:id="rId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97</xdr:row>
      <xdr:rowOff>0</xdr:rowOff>
    </xdr:from>
    <xdr:to>
      <xdr:col>1</xdr:col>
      <xdr:colOff>152400</xdr:colOff>
      <xdr:row>97</xdr:row>
      <xdr:rowOff>142875</xdr:rowOff>
    </xdr:to>
    <xdr:pic>
      <xdr:nvPicPr>
        <xdr:cNvPr id="79" name="select-arrow53" descr="https://oneview.timesjobs.com/centric/images/select-arrow.gif">
          <a:hlinkClick xmlns:r="http://schemas.openxmlformats.org/officeDocument/2006/relationships" r:id="rId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97</xdr:row>
      <xdr:rowOff>0</xdr:rowOff>
    </xdr:from>
    <xdr:to>
      <xdr:col>1</xdr:col>
      <xdr:colOff>152400</xdr:colOff>
      <xdr:row>97</xdr:row>
      <xdr:rowOff>142875</xdr:rowOff>
    </xdr:to>
    <xdr:pic>
      <xdr:nvPicPr>
        <xdr:cNvPr id="80" name="select-arrow55" descr="https://oneview.timesjobs.com/centric/images/select-arrow.gif">
          <a:hlinkClick xmlns:r="http://schemas.openxmlformats.org/officeDocument/2006/relationships" r:id="rId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98</xdr:row>
      <xdr:rowOff>0</xdr:rowOff>
    </xdr:from>
    <xdr:to>
      <xdr:col>1</xdr:col>
      <xdr:colOff>152400</xdr:colOff>
      <xdr:row>98</xdr:row>
      <xdr:rowOff>142875</xdr:rowOff>
    </xdr:to>
    <xdr:pic>
      <xdr:nvPicPr>
        <xdr:cNvPr id="81" name="select-arrow57" descr="https://oneview.timesjobs.com/centric/images/select-arrow.gif">
          <a:hlinkClick xmlns:r="http://schemas.openxmlformats.org/officeDocument/2006/relationships" r:id="rId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953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98</xdr:row>
      <xdr:rowOff>0</xdr:rowOff>
    </xdr:from>
    <xdr:to>
      <xdr:col>1</xdr:col>
      <xdr:colOff>152400</xdr:colOff>
      <xdr:row>98</xdr:row>
      <xdr:rowOff>142875</xdr:rowOff>
    </xdr:to>
    <xdr:pic>
      <xdr:nvPicPr>
        <xdr:cNvPr id="82" name="select-arrow60" descr="https://oneview.timesjobs.com/centric/images/select-arrow.gif">
          <a:hlinkClick xmlns:r="http://schemas.openxmlformats.org/officeDocument/2006/relationships" r:id="rId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953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98</xdr:row>
      <xdr:rowOff>0</xdr:rowOff>
    </xdr:from>
    <xdr:to>
      <xdr:col>1</xdr:col>
      <xdr:colOff>152400</xdr:colOff>
      <xdr:row>98</xdr:row>
      <xdr:rowOff>142875</xdr:rowOff>
    </xdr:to>
    <xdr:pic>
      <xdr:nvPicPr>
        <xdr:cNvPr id="83" name="select-arrow61" descr="https://oneview.timesjobs.com/centric/images/select-arrow.gif">
          <a:hlinkClick xmlns:r="http://schemas.openxmlformats.org/officeDocument/2006/relationships" r:id="rId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953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98</xdr:row>
      <xdr:rowOff>0</xdr:rowOff>
    </xdr:from>
    <xdr:to>
      <xdr:col>1</xdr:col>
      <xdr:colOff>152400</xdr:colOff>
      <xdr:row>98</xdr:row>
      <xdr:rowOff>142875</xdr:rowOff>
    </xdr:to>
    <xdr:pic>
      <xdr:nvPicPr>
        <xdr:cNvPr id="84" name="select-arrow66" descr="https://oneview.timesjobs.com/centric/images/select-arrow.gif">
          <a:hlinkClick xmlns:r="http://schemas.openxmlformats.org/officeDocument/2006/relationships" r:id="rId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953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99</xdr:row>
      <xdr:rowOff>0</xdr:rowOff>
    </xdr:from>
    <xdr:to>
      <xdr:col>1</xdr:col>
      <xdr:colOff>152400</xdr:colOff>
      <xdr:row>99</xdr:row>
      <xdr:rowOff>142875</xdr:rowOff>
    </xdr:to>
    <xdr:pic>
      <xdr:nvPicPr>
        <xdr:cNvPr id="85" name="select-arrow67" descr="https://oneview.timesjobs.com/centric/images/select-arrow.gif">
          <a:hlinkClick xmlns:r="http://schemas.openxmlformats.org/officeDocument/2006/relationships" r:id="rId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143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99</xdr:row>
      <xdr:rowOff>0</xdr:rowOff>
    </xdr:from>
    <xdr:to>
      <xdr:col>1</xdr:col>
      <xdr:colOff>152400</xdr:colOff>
      <xdr:row>100</xdr:row>
      <xdr:rowOff>142875</xdr:rowOff>
    </xdr:to>
    <xdr:pic>
      <xdr:nvPicPr>
        <xdr:cNvPr id="86" name="select-arrow68" descr="https://oneview.timesjobs.com/centric/images/select-arrow.gif">
          <a:hlinkClick xmlns:r="http://schemas.openxmlformats.org/officeDocument/2006/relationships" r:id="rId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334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100</xdr:row>
      <xdr:rowOff>0</xdr:rowOff>
    </xdr:from>
    <xdr:to>
      <xdr:col>1</xdr:col>
      <xdr:colOff>152400</xdr:colOff>
      <xdr:row>100</xdr:row>
      <xdr:rowOff>142875</xdr:rowOff>
    </xdr:to>
    <xdr:pic>
      <xdr:nvPicPr>
        <xdr:cNvPr id="87" name="select-arrow71" descr="https://oneview.timesjobs.com/centric/images/select-arrow.gif">
          <a:hlinkClick xmlns:r="http://schemas.openxmlformats.org/officeDocument/2006/relationships" r:id="rId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334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101</xdr:row>
      <xdr:rowOff>142875</xdr:rowOff>
    </xdr:to>
    <xdr:pic>
      <xdr:nvPicPr>
        <xdr:cNvPr id="88" name="select-arrow72" descr="https://oneview.timesjobs.com/centric/images/select-arrow.gif">
          <a:hlinkClick xmlns:r="http://schemas.openxmlformats.org/officeDocument/2006/relationships" r:id="rId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524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97</xdr:row>
      <xdr:rowOff>0</xdr:rowOff>
    </xdr:from>
    <xdr:to>
      <xdr:col>1</xdr:col>
      <xdr:colOff>152400</xdr:colOff>
      <xdr:row>101</xdr:row>
      <xdr:rowOff>142875</xdr:rowOff>
    </xdr:to>
    <xdr:pic>
      <xdr:nvPicPr>
        <xdr:cNvPr id="89" name="select-arrow73" descr="https://oneview.timesjobs.com/centric/images/select-arrow.gif">
          <a:hlinkClick xmlns:r="http://schemas.openxmlformats.org/officeDocument/2006/relationships" r:id="rId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524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98</xdr:row>
      <xdr:rowOff>0</xdr:rowOff>
    </xdr:from>
    <xdr:to>
      <xdr:col>1</xdr:col>
      <xdr:colOff>152400</xdr:colOff>
      <xdr:row>101</xdr:row>
      <xdr:rowOff>142875</xdr:rowOff>
    </xdr:to>
    <xdr:pic>
      <xdr:nvPicPr>
        <xdr:cNvPr id="90" name="select-arrow76" descr="https://oneview.timesjobs.com/centric/images/select-arrow.gif">
          <a:hlinkClick xmlns:r="http://schemas.openxmlformats.org/officeDocument/2006/relationships" r:id="rId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524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99</xdr:row>
      <xdr:rowOff>0</xdr:rowOff>
    </xdr:from>
    <xdr:to>
      <xdr:col>1</xdr:col>
      <xdr:colOff>152400</xdr:colOff>
      <xdr:row>101</xdr:row>
      <xdr:rowOff>142875</xdr:rowOff>
    </xdr:to>
    <xdr:pic>
      <xdr:nvPicPr>
        <xdr:cNvPr id="91" name="select-arrow78" descr="https://oneview.timesjobs.com/centric/images/select-arrow.gif">
          <a:hlinkClick xmlns:r="http://schemas.openxmlformats.org/officeDocument/2006/relationships" r:id="rId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524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100</xdr:row>
      <xdr:rowOff>0</xdr:rowOff>
    </xdr:from>
    <xdr:to>
      <xdr:col>1</xdr:col>
      <xdr:colOff>152400</xdr:colOff>
      <xdr:row>101</xdr:row>
      <xdr:rowOff>142875</xdr:rowOff>
    </xdr:to>
    <xdr:pic>
      <xdr:nvPicPr>
        <xdr:cNvPr id="92" name="select-arrow82" descr="https://oneview.timesjobs.com/centric/images/select-arrow.gif">
          <a:hlinkClick xmlns:r="http://schemas.openxmlformats.org/officeDocument/2006/relationships" r:id="rId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524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101</xdr:row>
      <xdr:rowOff>0</xdr:rowOff>
    </xdr:from>
    <xdr:to>
      <xdr:col>1</xdr:col>
      <xdr:colOff>152400</xdr:colOff>
      <xdr:row>101</xdr:row>
      <xdr:rowOff>142875</xdr:rowOff>
    </xdr:to>
    <xdr:pic>
      <xdr:nvPicPr>
        <xdr:cNvPr id="93" name="select-arrow85" descr="https://oneview.timesjobs.com/centric/images/select-arrow.gif">
          <a:hlinkClick xmlns:r="http://schemas.openxmlformats.org/officeDocument/2006/relationships" r:id="rId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524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101</xdr:row>
      <xdr:rowOff>0</xdr:rowOff>
    </xdr:from>
    <xdr:to>
      <xdr:col>1</xdr:col>
      <xdr:colOff>152400</xdr:colOff>
      <xdr:row>101</xdr:row>
      <xdr:rowOff>142875</xdr:rowOff>
    </xdr:to>
    <xdr:pic>
      <xdr:nvPicPr>
        <xdr:cNvPr id="94" name="select-arrow86" descr="https://oneview.timesjobs.com/centric/images/select-arrow.gif">
          <a:hlinkClick xmlns:r="http://schemas.openxmlformats.org/officeDocument/2006/relationships" r:id="rId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524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101</xdr:row>
      <xdr:rowOff>0</xdr:rowOff>
    </xdr:from>
    <xdr:to>
      <xdr:col>1</xdr:col>
      <xdr:colOff>152400</xdr:colOff>
      <xdr:row>101</xdr:row>
      <xdr:rowOff>142875</xdr:rowOff>
    </xdr:to>
    <xdr:pic>
      <xdr:nvPicPr>
        <xdr:cNvPr id="95" name="select-arrow87" descr="https://oneview.timesjobs.com/centric/images/select-arrow.gif">
          <a:hlinkClick xmlns:r="http://schemas.openxmlformats.org/officeDocument/2006/relationships" r:id="rId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524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96</xdr:row>
      <xdr:rowOff>0</xdr:rowOff>
    </xdr:from>
    <xdr:to>
      <xdr:col>1</xdr:col>
      <xdr:colOff>152400</xdr:colOff>
      <xdr:row>102</xdr:row>
      <xdr:rowOff>142875</xdr:rowOff>
    </xdr:to>
    <xdr:pic>
      <xdr:nvPicPr>
        <xdr:cNvPr id="96" name="select-arrow88" descr="https://oneview.timesjobs.com/centric/images/select-arrow.gif">
          <a:hlinkClick xmlns:r="http://schemas.openxmlformats.org/officeDocument/2006/relationships" r:id="rId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97</xdr:row>
      <xdr:rowOff>0</xdr:rowOff>
    </xdr:from>
    <xdr:to>
      <xdr:col>1</xdr:col>
      <xdr:colOff>152400</xdr:colOff>
      <xdr:row>102</xdr:row>
      <xdr:rowOff>142875</xdr:rowOff>
    </xdr:to>
    <xdr:pic>
      <xdr:nvPicPr>
        <xdr:cNvPr id="97" name="select-arrow89" descr="https://oneview.timesjobs.com/centric/images/select-arrow.gif">
          <a:hlinkClick xmlns:r="http://schemas.openxmlformats.org/officeDocument/2006/relationships" r:id="rId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98</xdr:row>
      <xdr:rowOff>0</xdr:rowOff>
    </xdr:from>
    <xdr:to>
      <xdr:col>1</xdr:col>
      <xdr:colOff>152400</xdr:colOff>
      <xdr:row>102</xdr:row>
      <xdr:rowOff>142875</xdr:rowOff>
    </xdr:to>
    <xdr:pic>
      <xdr:nvPicPr>
        <xdr:cNvPr id="98" name="select-arrow90" descr="https://oneview.timesjobs.com/centric/images/select-arrow.gif">
          <a:hlinkClick xmlns:r="http://schemas.openxmlformats.org/officeDocument/2006/relationships" r:id="rId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99</xdr:row>
      <xdr:rowOff>0</xdr:rowOff>
    </xdr:from>
    <xdr:to>
      <xdr:col>1</xdr:col>
      <xdr:colOff>152400</xdr:colOff>
      <xdr:row>102</xdr:row>
      <xdr:rowOff>142875</xdr:rowOff>
    </xdr:to>
    <xdr:pic>
      <xdr:nvPicPr>
        <xdr:cNvPr id="99" name="select-arrow91" descr="https://oneview.timesjobs.com/centric/images/select-arrow.gif">
          <a:hlinkClick xmlns:r="http://schemas.openxmlformats.org/officeDocument/2006/relationships" r:id="rId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100</xdr:row>
      <xdr:rowOff>0</xdr:rowOff>
    </xdr:from>
    <xdr:to>
      <xdr:col>1</xdr:col>
      <xdr:colOff>152400</xdr:colOff>
      <xdr:row>102</xdr:row>
      <xdr:rowOff>142875</xdr:rowOff>
    </xdr:to>
    <xdr:pic>
      <xdr:nvPicPr>
        <xdr:cNvPr id="100" name="select-arrow92" descr="https://oneview.timesjobs.com/centric/images/select-arrow.gif">
          <a:hlinkClick xmlns:r="http://schemas.openxmlformats.org/officeDocument/2006/relationships" r:id="rId1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100</xdr:row>
      <xdr:rowOff>0</xdr:rowOff>
    </xdr:from>
    <xdr:to>
      <xdr:col>1</xdr:col>
      <xdr:colOff>152400</xdr:colOff>
      <xdr:row>102</xdr:row>
      <xdr:rowOff>142875</xdr:rowOff>
    </xdr:to>
    <xdr:pic>
      <xdr:nvPicPr>
        <xdr:cNvPr id="101" name="select-arrow95" descr="https://oneview.timesjobs.com/centric/images/select-arrow.gif">
          <a:hlinkClick xmlns:r="http://schemas.openxmlformats.org/officeDocument/2006/relationships" r:id="rId1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101</xdr:row>
      <xdr:rowOff>0</xdr:rowOff>
    </xdr:from>
    <xdr:to>
      <xdr:col>1</xdr:col>
      <xdr:colOff>152400</xdr:colOff>
      <xdr:row>102</xdr:row>
      <xdr:rowOff>142875</xdr:rowOff>
    </xdr:to>
    <xdr:pic>
      <xdr:nvPicPr>
        <xdr:cNvPr id="102" name="select-arrow97" descr="https://oneview.timesjobs.com/centric/images/select-arrow.gif">
          <a:hlinkClick xmlns:r="http://schemas.openxmlformats.org/officeDocument/2006/relationships" r:id="rId1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102</xdr:row>
      <xdr:rowOff>0</xdr:rowOff>
    </xdr:from>
    <xdr:to>
      <xdr:col>1</xdr:col>
      <xdr:colOff>152400</xdr:colOff>
      <xdr:row>102</xdr:row>
      <xdr:rowOff>142875</xdr:rowOff>
    </xdr:to>
    <xdr:pic>
      <xdr:nvPicPr>
        <xdr:cNvPr id="103" name="select-arrow99" descr="https://oneview.timesjobs.com/centric/images/select-arrow.gif">
          <a:hlinkClick xmlns:r="http://schemas.openxmlformats.org/officeDocument/2006/relationships" r:id="rId1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98</xdr:row>
      <xdr:rowOff>0</xdr:rowOff>
    </xdr:from>
    <xdr:to>
      <xdr:col>1</xdr:col>
      <xdr:colOff>152400</xdr:colOff>
      <xdr:row>103</xdr:row>
      <xdr:rowOff>142875</xdr:rowOff>
    </xdr:to>
    <xdr:pic>
      <xdr:nvPicPr>
        <xdr:cNvPr id="104" name="select-arrow100" descr="https://oneview.timesjobs.com/centric/images/select-arrow.gif">
          <a:hlinkClick xmlns:r="http://schemas.openxmlformats.org/officeDocument/2006/relationships" r:id="rId1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905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99</xdr:row>
      <xdr:rowOff>0</xdr:rowOff>
    </xdr:from>
    <xdr:to>
      <xdr:col>1</xdr:col>
      <xdr:colOff>152400</xdr:colOff>
      <xdr:row>103</xdr:row>
      <xdr:rowOff>142875</xdr:rowOff>
    </xdr:to>
    <xdr:pic>
      <xdr:nvPicPr>
        <xdr:cNvPr id="105" name="select-arrow101" descr="https://oneview.timesjobs.com/centric/images/select-arrow.gif">
          <a:hlinkClick xmlns:r="http://schemas.openxmlformats.org/officeDocument/2006/relationships" r:id="rId1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905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100</xdr:row>
      <xdr:rowOff>0</xdr:rowOff>
    </xdr:from>
    <xdr:to>
      <xdr:col>1</xdr:col>
      <xdr:colOff>152400</xdr:colOff>
      <xdr:row>103</xdr:row>
      <xdr:rowOff>142875</xdr:rowOff>
    </xdr:to>
    <xdr:pic>
      <xdr:nvPicPr>
        <xdr:cNvPr id="106" name="select-arrow102" descr="https://oneview.timesjobs.com/centric/images/select-arrow.gif">
          <a:hlinkClick xmlns:r="http://schemas.openxmlformats.org/officeDocument/2006/relationships" r:id="rId1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905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101</xdr:row>
      <xdr:rowOff>0</xdr:rowOff>
    </xdr:from>
    <xdr:to>
      <xdr:col>1</xdr:col>
      <xdr:colOff>152400</xdr:colOff>
      <xdr:row>103</xdr:row>
      <xdr:rowOff>142875</xdr:rowOff>
    </xdr:to>
    <xdr:pic>
      <xdr:nvPicPr>
        <xdr:cNvPr id="107" name="select-arrow103" descr="https://oneview.timesjobs.com/centric/images/select-arrow.gif">
          <a:hlinkClick xmlns:r="http://schemas.openxmlformats.org/officeDocument/2006/relationships" r:id="rId1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905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102</xdr:row>
      <xdr:rowOff>0</xdr:rowOff>
    </xdr:from>
    <xdr:to>
      <xdr:col>1</xdr:col>
      <xdr:colOff>152400</xdr:colOff>
      <xdr:row>103</xdr:row>
      <xdr:rowOff>142875</xdr:rowOff>
    </xdr:to>
    <xdr:pic>
      <xdr:nvPicPr>
        <xdr:cNvPr id="108" name="select-arrow104" descr="https://oneview.timesjobs.com/centric/images/select-arrow.gif">
          <a:hlinkClick xmlns:r="http://schemas.openxmlformats.org/officeDocument/2006/relationships" r:id="rId10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905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103</xdr:row>
      <xdr:rowOff>0</xdr:rowOff>
    </xdr:from>
    <xdr:to>
      <xdr:col>1</xdr:col>
      <xdr:colOff>152400</xdr:colOff>
      <xdr:row>103</xdr:row>
      <xdr:rowOff>142875</xdr:rowOff>
    </xdr:to>
    <xdr:pic>
      <xdr:nvPicPr>
        <xdr:cNvPr id="109" name="select-arrow105" descr="https://oneview.timesjobs.com/centric/images/select-arrow.gif">
          <a:hlinkClick xmlns:r="http://schemas.openxmlformats.org/officeDocument/2006/relationships" r:id="rId1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905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97</xdr:row>
      <xdr:rowOff>0</xdr:rowOff>
    </xdr:from>
    <xdr:to>
      <xdr:col>1</xdr:col>
      <xdr:colOff>152400</xdr:colOff>
      <xdr:row>104</xdr:row>
      <xdr:rowOff>142875</xdr:rowOff>
    </xdr:to>
    <xdr:pic>
      <xdr:nvPicPr>
        <xdr:cNvPr id="110" name="select-arrow107" descr="https://oneview.timesjobs.com/centric/images/select-arrow.gif">
          <a:hlinkClick xmlns:r="http://schemas.openxmlformats.org/officeDocument/2006/relationships" r:id="rId1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97</xdr:row>
      <xdr:rowOff>0</xdr:rowOff>
    </xdr:from>
    <xdr:to>
      <xdr:col>1</xdr:col>
      <xdr:colOff>152400</xdr:colOff>
      <xdr:row>104</xdr:row>
      <xdr:rowOff>142875</xdr:rowOff>
    </xdr:to>
    <xdr:pic>
      <xdr:nvPicPr>
        <xdr:cNvPr id="111" name="select-arrow109" descr="https://oneview.timesjobs.com/centric/images/select-arrow.gif">
          <a:hlinkClick xmlns:r="http://schemas.openxmlformats.org/officeDocument/2006/relationships" r:id="rId1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97</xdr:row>
      <xdr:rowOff>0</xdr:rowOff>
    </xdr:from>
    <xdr:to>
      <xdr:col>1</xdr:col>
      <xdr:colOff>152400</xdr:colOff>
      <xdr:row>104</xdr:row>
      <xdr:rowOff>142875</xdr:rowOff>
    </xdr:to>
    <xdr:pic>
      <xdr:nvPicPr>
        <xdr:cNvPr id="112" name="select-arrow110" descr="https://oneview.timesjobs.com/centric/images/select-arrow.gif">
          <a:hlinkClick xmlns:r="http://schemas.openxmlformats.org/officeDocument/2006/relationships" r:id="rId1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98</xdr:row>
      <xdr:rowOff>0</xdr:rowOff>
    </xdr:from>
    <xdr:to>
      <xdr:col>1</xdr:col>
      <xdr:colOff>152400</xdr:colOff>
      <xdr:row>104</xdr:row>
      <xdr:rowOff>142875</xdr:rowOff>
    </xdr:to>
    <xdr:pic>
      <xdr:nvPicPr>
        <xdr:cNvPr id="113" name="select-arrow112" descr="https://oneview.timesjobs.com/centric/images/select-arrow.gif">
          <a:hlinkClick xmlns:r="http://schemas.openxmlformats.org/officeDocument/2006/relationships" r:id="rId1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99</xdr:row>
      <xdr:rowOff>0</xdr:rowOff>
    </xdr:from>
    <xdr:to>
      <xdr:col>1</xdr:col>
      <xdr:colOff>152400</xdr:colOff>
      <xdr:row>104</xdr:row>
      <xdr:rowOff>142875</xdr:rowOff>
    </xdr:to>
    <xdr:pic>
      <xdr:nvPicPr>
        <xdr:cNvPr id="114" name="select-arrow113" descr="https://oneview.timesjobs.com/centric/images/select-arrow.gif">
          <a:hlinkClick xmlns:r="http://schemas.openxmlformats.org/officeDocument/2006/relationships" r:id="rId1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99</xdr:row>
      <xdr:rowOff>0</xdr:rowOff>
    </xdr:from>
    <xdr:to>
      <xdr:col>1</xdr:col>
      <xdr:colOff>152400</xdr:colOff>
      <xdr:row>104</xdr:row>
      <xdr:rowOff>142875</xdr:rowOff>
    </xdr:to>
    <xdr:pic>
      <xdr:nvPicPr>
        <xdr:cNvPr id="115" name="select-arrow114" descr="https://oneview.timesjobs.com/centric/images/select-arrow.gif">
          <a:hlinkClick xmlns:r="http://schemas.openxmlformats.org/officeDocument/2006/relationships" r:id="rId1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99</xdr:row>
      <xdr:rowOff>0</xdr:rowOff>
    </xdr:from>
    <xdr:to>
      <xdr:col>1</xdr:col>
      <xdr:colOff>152400</xdr:colOff>
      <xdr:row>104</xdr:row>
      <xdr:rowOff>142875</xdr:rowOff>
    </xdr:to>
    <xdr:pic>
      <xdr:nvPicPr>
        <xdr:cNvPr id="116" name="select-arrow117" descr="https://oneview.timesjobs.com/centric/images/select-arrow.gif">
          <a:hlinkClick xmlns:r="http://schemas.openxmlformats.org/officeDocument/2006/relationships" r:id="rId1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100</xdr:row>
      <xdr:rowOff>0</xdr:rowOff>
    </xdr:from>
    <xdr:to>
      <xdr:col>1</xdr:col>
      <xdr:colOff>152400</xdr:colOff>
      <xdr:row>104</xdr:row>
      <xdr:rowOff>142875</xdr:rowOff>
    </xdr:to>
    <xdr:pic>
      <xdr:nvPicPr>
        <xdr:cNvPr id="117" name="select-arrow118" descr="https://oneview.timesjobs.com/centric/images/select-arrow.gif">
          <a:hlinkClick xmlns:r="http://schemas.openxmlformats.org/officeDocument/2006/relationships" r:id="rId1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101</xdr:row>
      <xdr:rowOff>0</xdr:rowOff>
    </xdr:from>
    <xdr:to>
      <xdr:col>1</xdr:col>
      <xdr:colOff>152400</xdr:colOff>
      <xdr:row>104</xdr:row>
      <xdr:rowOff>142875</xdr:rowOff>
    </xdr:to>
    <xdr:pic>
      <xdr:nvPicPr>
        <xdr:cNvPr id="118" name="select-arrow119" descr="https://oneview.timesjobs.com/centric/images/select-arrow.gif">
          <a:hlinkClick xmlns:r="http://schemas.openxmlformats.org/officeDocument/2006/relationships" r:id="rId1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101</xdr:row>
      <xdr:rowOff>0</xdr:rowOff>
    </xdr:from>
    <xdr:to>
      <xdr:col>1</xdr:col>
      <xdr:colOff>152400</xdr:colOff>
      <xdr:row>104</xdr:row>
      <xdr:rowOff>142875</xdr:rowOff>
    </xdr:to>
    <xdr:pic>
      <xdr:nvPicPr>
        <xdr:cNvPr id="119" name="select-arrow120" descr="https://oneview.timesjobs.com/centric/images/select-arrow.gif">
          <a:hlinkClick xmlns:r="http://schemas.openxmlformats.org/officeDocument/2006/relationships" r:id="rId1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101</xdr:row>
      <xdr:rowOff>0</xdr:rowOff>
    </xdr:from>
    <xdr:to>
      <xdr:col>1</xdr:col>
      <xdr:colOff>152400</xdr:colOff>
      <xdr:row>104</xdr:row>
      <xdr:rowOff>142875</xdr:rowOff>
    </xdr:to>
    <xdr:pic>
      <xdr:nvPicPr>
        <xdr:cNvPr id="120" name="select-arrow121" descr="https://oneview.timesjobs.com/centric/images/select-arrow.gif">
          <a:hlinkClick xmlns:r="http://schemas.openxmlformats.org/officeDocument/2006/relationships" r:id="rId1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102</xdr:row>
      <xdr:rowOff>0</xdr:rowOff>
    </xdr:from>
    <xdr:to>
      <xdr:col>1</xdr:col>
      <xdr:colOff>152400</xdr:colOff>
      <xdr:row>104</xdr:row>
      <xdr:rowOff>142875</xdr:rowOff>
    </xdr:to>
    <xdr:pic>
      <xdr:nvPicPr>
        <xdr:cNvPr id="121" name="select-arrow122" descr="https://oneview.timesjobs.com/centric/images/select-arrow.gif">
          <a:hlinkClick xmlns:r="http://schemas.openxmlformats.org/officeDocument/2006/relationships" r:id="rId1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103</xdr:row>
      <xdr:rowOff>0</xdr:rowOff>
    </xdr:from>
    <xdr:to>
      <xdr:col>1</xdr:col>
      <xdr:colOff>152400</xdr:colOff>
      <xdr:row>104</xdr:row>
      <xdr:rowOff>142875</xdr:rowOff>
    </xdr:to>
    <xdr:pic>
      <xdr:nvPicPr>
        <xdr:cNvPr id="122" name="select-arrow127" descr="https://oneview.timesjobs.com/centric/images/select-arrow.gif">
          <a:hlinkClick xmlns:r="http://schemas.openxmlformats.org/officeDocument/2006/relationships" r:id="rId1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104</xdr:row>
      <xdr:rowOff>0</xdr:rowOff>
    </xdr:from>
    <xdr:to>
      <xdr:col>1</xdr:col>
      <xdr:colOff>152400</xdr:colOff>
      <xdr:row>104</xdr:row>
      <xdr:rowOff>142875</xdr:rowOff>
    </xdr:to>
    <xdr:pic>
      <xdr:nvPicPr>
        <xdr:cNvPr id="123" name="select-arrow131" descr="https://oneview.timesjobs.com/centric/images/select-arrow.gif">
          <a:hlinkClick xmlns:r="http://schemas.openxmlformats.org/officeDocument/2006/relationships" r:id="rId1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104</xdr:row>
      <xdr:rowOff>0</xdr:rowOff>
    </xdr:from>
    <xdr:to>
      <xdr:col>1</xdr:col>
      <xdr:colOff>152400</xdr:colOff>
      <xdr:row>104</xdr:row>
      <xdr:rowOff>142875</xdr:rowOff>
    </xdr:to>
    <xdr:pic>
      <xdr:nvPicPr>
        <xdr:cNvPr id="124" name="select-arrow132" descr="https://oneview.timesjobs.com/centric/images/select-arrow.gif">
          <a:hlinkClick xmlns:r="http://schemas.openxmlformats.org/officeDocument/2006/relationships" r:id="rId1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096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105</xdr:row>
      <xdr:rowOff>142875</xdr:rowOff>
    </xdr:to>
    <xdr:pic>
      <xdr:nvPicPr>
        <xdr:cNvPr id="125" name="select-arrow133" descr="https://oneview.timesjobs.com/centric/images/select-arrow.gif">
          <a:hlinkClick xmlns:r="http://schemas.openxmlformats.org/officeDocument/2006/relationships" r:id="rId1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286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105</xdr:row>
      <xdr:rowOff>142875</xdr:rowOff>
    </xdr:to>
    <xdr:pic>
      <xdr:nvPicPr>
        <xdr:cNvPr id="126" name="select-arrow134" descr="https://oneview.timesjobs.com/centric/images/select-arrow.gif">
          <a:hlinkClick xmlns:r="http://schemas.openxmlformats.org/officeDocument/2006/relationships" r:id="rId1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286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105</xdr:row>
      <xdr:rowOff>142875</xdr:rowOff>
    </xdr:to>
    <xdr:pic>
      <xdr:nvPicPr>
        <xdr:cNvPr id="127" name="select-arrow135" descr="https://oneview.timesjobs.com/centric/images/select-arrow.gif">
          <a:hlinkClick xmlns:r="http://schemas.openxmlformats.org/officeDocument/2006/relationships" r:id="rId1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286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106</xdr:row>
      <xdr:rowOff>142875</xdr:rowOff>
    </xdr:to>
    <xdr:pic>
      <xdr:nvPicPr>
        <xdr:cNvPr id="128" name="select-arrow136" descr="https://oneview.timesjobs.com/centric/images/select-arrow.gif">
          <a:hlinkClick xmlns:r="http://schemas.openxmlformats.org/officeDocument/2006/relationships" r:id="rId1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477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106</xdr:row>
      <xdr:rowOff>0</xdr:rowOff>
    </xdr:from>
    <xdr:to>
      <xdr:col>1</xdr:col>
      <xdr:colOff>152400</xdr:colOff>
      <xdr:row>106</xdr:row>
      <xdr:rowOff>142875</xdr:rowOff>
    </xdr:to>
    <xdr:pic>
      <xdr:nvPicPr>
        <xdr:cNvPr id="129" name="select-arrow138" descr="https://oneview.timesjobs.com/centric/images/select-arrow.gif">
          <a:hlinkClick xmlns:r="http://schemas.openxmlformats.org/officeDocument/2006/relationships" r:id="rId1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477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106</xdr:row>
      <xdr:rowOff>0</xdr:rowOff>
    </xdr:from>
    <xdr:to>
      <xdr:col>1</xdr:col>
      <xdr:colOff>152400</xdr:colOff>
      <xdr:row>106</xdr:row>
      <xdr:rowOff>142875</xdr:rowOff>
    </xdr:to>
    <xdr:pic>
      <xdr:nvPicPr>
        <xdr:cNvPr id="130" name="select-arrow141" descr="https://oneview.timesjobs.com/centric/images/select-arrow.gif">
          <a:hlinkClick xmlns:r="http://schemas.openxmlformats.org/officeDocument/2006/relationships" r:id="rId1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477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107</xdr:row>
      <xdr:rowOff>142875</xdr:rowOff>
    </xdr:to>
    <xdr:pic>
      <xdr:nvPicPr>
        <xdr:cNvPr id="131" name="select-arrow142" descr="https://oneview.timesjobs.com/centric/images/select-arrow.gif">
          <a:hlinkClick xmlns:r="http://schemas.openxmlformats.org/officeDocument/2006/relationships" r:id="rId1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667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106</xdr:row>
      <xdr:rowOff>0</xdr:rowOff>
    </xdr:from>
    <xdr:to>
      <xdr:col>1</xdr:col>
      <xdr:colOff>152400</xdr:colOff>
      <xdr:row>107</xdr:row>
      <xdr:rowOff>142875</xdr:rowOff>
    </xdr:to>
    <xdr:pic>
      <xdr:nvPicPr>
        <xdr:cNvPr id="132" name="select-arrow143" descr="https://oneview.timesjobs.com/centric/images/select-arrow.gif">
          <a:hlinkClick xmlns:r="http://schemas.openxmlformats.org/officeDocument/2006/relationships" r:id="rId1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667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107</xdr:row>
      <xdr:rowOff>0</xdr:rowOff>
    </xdr:from>
    <xdr:to>
      <xdr:col>1</xdr:col>
      <xdr:colOff>152400</xdr:colOff>
      <xdr:row>107</xdr:row>
      <xdr:rowOff>142875</xdr:rowOff>
    </xdr:to>
    <xdr:pic>
      <xdr:nvPicPr>
        <xdr:cNvPr id="133" name="select-arrow144" descr="https://oneview.timesjobs.com/centric/images/select-arrow.gif">
          <a:hlinkClick xmlns:r="http://schemas.openxmlformats.org/officeDocument/2006/relationships" r:id="rId1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6675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34" name="select-arrow67" descr="https://oneview.timesjobs.com/centric/images/select-arrow.gif">
          <a:hlinkClick xmlns:r="http://schemas.openxmlformats.org/officeDocument/2006/relationships" r:id="rId1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35" name="select-arrow16" descr="https://oneview.timesjobs.com/centric/images/select-arrow.gif">
          <a:hlinkClick xmlns:r="http://schemas.openxmlformats.org/officeDocument/2006/relationships" r:id="rId1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36" name="select-arrow52" descr="https://oneview.timesjobs.com/centric/images/select-arrow.gif">
          <a:hlinkClick xmlns:r="http://schemas.openxmlformats.org/officeDocument/2006/relationships" r:id="rId1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37" name="select-arrow79" descr="https://oneview.timesjobs.com/centric/images/select-arrow.gif">
          <a:hlinkClick xmlns:r="http://schemas.openxmlformats.org/officeDocument/2006/relationships" r:id="rId1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38" name="select-arrow80" descr="https://oneview.timesjobs.com/centric/images/select-arrow.gif">
          <a:hlinkClick xmlns:r="http://schemas.openxmlformats.org/officeDocument/2006/relationships" r:id="rId1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39" name="select-arrow81" descr="https://oneview.timesjobs.com/centric/images/select-arrow.gif">
          <a:hlinkClick xmlns:r="http://schemas.openxmlformats.org/officeDocument/2006/relationships" r:id="rId1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40" name="select-arrow96" descr="https://oneview.timesjobs.com/centric/images/select-arrow.gif">
          <a:hlinkClick xmlns:r="http://schemas.openxmlformats.org/officeDocument/2006/relationships" r:id="rId1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41" name="select-arrow106" descr="https://oneview.timesjobs.com/centric/images/select-arrow.gif">
          <a:hlinkClick xmlns:r="http://schemas.openxmlformats.org/officeDocument/2006/relationships" r:id="rId1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42" name="select-arrow116" descr="https://oneview.timesjobs.com/centric/images/select-arrow.gif">
          <a:hlinkClick xmlns:r="http://schemas.openxmlformats.org/officeDocument/2006/relationships" r:id="rId1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43" name="select-arrow123" descr="https://oneview.timesjobs.com/centric/images/select-arrow.gif">
          <a:hlinkClick xmlns:r="http://schemas.openxmlformats.org/officeDocument/2006/relationships" r:id="rId1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108</xdr:row>
      <xdr:rowOff>142875</xdr:rowOff>
    </xdr:to>
    <xdr:pic>
      <xdr:nvPicPr>
        <xdr:cNvPr id="144" name="select-arrow126" descr="https://oneview.timesjobs.com/centric/images/select-arrow.gif">
          <a:hlinkClick xmlns:r="http://schemas.openxmlformats.org/officeDocument/2006/relationships" r:id="rId1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102</xdr:row>
      <xdr:rowOff>0</xdr:rowOff>
    </xdr:from>
    <xdr:to>
      <xdr:col>1</xdr:col>
      <xdr:colOff>152400</xdr:colOff>
      <xdr:row>110</xdr:row>
      <xdr:rowOff>161925</xdr:rowOff>
    </xdr:to>
    <xdr:pic>
      <xdr:nvPicPr>
        <xdr:cNvPr id="145" name="select-arrow130" descr="https://oneview.timesjobs.com/centric/images/select-arrow.gif">
          <a:hlinkClick xmlns:r="http://schemas.openxmlformats.org/officeDocument/2006/relationships" r:id="rId1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542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110</xdr:row>
      <xdr:rowOff>161925</xdr:rowOff>
    </xdr:to>
    <xdr:pic>
      <xdr:nvPicPr>
        <xdr:cNvPr id="146" name="select-arrow137" descr="https://oneview.timesjobs.com/centric/images/select-arrow.gif">
          <a:hlinkClick xmlns:r="http://schemas.openxmlformats.org/officeDocument/2006/relationships" r:id="rId1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542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116</xdr:row>
      <xdr:rowOff>0</xdr:rowOff>
    </xdr:to>
    <xdr:pic>
      <xdr:nvPicPr>
        <xdr:cNvPr id="147" name="select-arrow139" descr="https://oneview.timesjobs.com/centric/images/select-arrow.gif">
          <a:hlinkClick xmlns:r="http://schemas.openxmlformats.org/officeDocument/2006/relationships" r:id="rId1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6097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105</xdr:row>
      <xdr:rowOff>0</xdr:rowOff>
    </xdr:from>
    <xdr:to>
      <xdr:col>1</xdr:col>
      <xdr:colOff>152400</xdr:colOff>
      <xdr:row>116</xdr:row>
      <xdr:rowOff>0</xdr:rowOff>
    </xdr:to>
    <xdr:pic>
      <xdr:nvPicPr>
        <xdr:cNvPr id="148" name="select-arrow140" descr="https://oneview.timesjobs.com/centric/images/select-arrow.gif">
          <a:hlinkClick xmlns:r="http://schemas.openxmlformats.org/officeDocument/2006/relationships" r:id="rId1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6097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102</xdr:row>
      <xdr:rowOff>0</xdr:rowOff>
    </xdr:from>
    <xdr:to>
      <xdr:col>1</xdr:col>
      <xdr:colOff>152400</xdr:colOff>
      <xdr:row>108</xdr:row>
      <xdr:rowOff>142875</xdr:rowOff>
    </xdr:to>
    <xdr:pic>
      <xdr:nvPicPr>
        <xdr:cNvPr id="149" name="select-arrow145" descr="https://oneview.timesjobs.com/centric/images/select-arrow.gif">
          <a:hlinkClick xmlns:r="http://schemas.openxmlformats.org/officeDocument/2006/relationships" r:id="rId1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103</xdr:row>
      <xdr:rowOff>0</xdr:rowOff>
    </xdr:from>
    <xdr:to>
      <xdr:col>1</xdr:col>
      <xdr:colOff>152400</xdr:colOff>
      <xdr:row>108</xdr:row>
      <xdr:rowOff>142875</xdr:rowOff>
    </xdr:to>
    <xdr:pic>
      <xdr:nvPicPr>
        <xdr:cNvPr id="150" name="select-arrow146" descr="https://oneview.timesjobs.com/centric/images/select-arrow.gif">
          <a:hlinkClick xmlns:r="http://schemas.openxmlformats.org/officeDocument/2006/relationships" r:id="rId1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104</xdr:row>
      <xdr:rowOff>0</xdr:rowOff>
    </xdr:from>
    <xdr:to>
      <xdr:col>1</xdr:col>
      <xdr:colOff>152400</xdr:colOff>
      <xdr:row>108</xdr:row>
      <xdr:rowOff>142875</xdr:rowOff>
    </xdr:to>
    <xdr:pic>
      <xdr:nvPicPr>
        <xdr:cNvPr id="151" name="select-arrow147" descr="https://oneview.timesjobs.com/centric/images/select-arrow.gif">
          <a:hlinkClick xmlns:r="http://schemas.openxmlformats.org/officeDocument/2006/relationships" r:id="rId1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6858000"/>
          <a:ext cx="142875" cy="142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purushotham.k@atkinsglobal.com" TargetMode="External"/><Relationship Id="rId20" Type="http://schemas.openxmlformats.org/officeDocument/2006/relationships/hyperlink" Target="mailto:abraham.cherian@in.tesco.com" TargetMode="External"/><Relationship Id="rId21" Type="http://schemas.openxmlformats.org/officeDocument/2006/relationships/hyperlink" Target="mailto:pbhattad@textron.com" TargetMode="External"/><Relationship Id="rId22" Type="http://schemas.openxmlformats.org/officeDocument/2006/relationships/hyperlink" Target="mailto:rex.michael@thomsonreuters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gayatri.kunjithaya@citrix.com" TargetMode="External"/><Relationship Id="rId11" Type="http://schemas.openxmlformats.org/officeDocument/2006/relationships/hyperlink" Target="mailto:pradeep.kumar2@emids.com" TargetMode="External"/><Relationship Id="rId12" Type="http://schemas.openxmlformats.org/officeDocument/2006/relationships/hyperlink" Target="mailto:pramdoss@in.imshealth.com" TargetMode="External"/><Relationship Id="rId13" Type="http://schemas.openxmlformats.org/officeDocument/2006/relationships/hyperlink" Target="mailto:vishnu.i@myntra.com" TargetMode="External"/><Relationship Id="rId14" Type="http://schemas.openxmlformats.org/officeDocument/2006/relationships/hyperlink" Target="mailto:gmanoj@novell.com" TargetMode="External"/><Relationship Id="rId15" Type="http://schemas.openxmlformats.org/officeDocument/2006/relationships/hyperlink" Target="mailto:m.m.hussain@phillips.com" TargetMode="External"/><Relationship Id="rId16" Type="http://schemas.openxmlformats.org/officeDocument/2006/relationships/hyperlink" Target="mailto:trinette@qualcomm.com" TargetMode="External"/><Relationship Id="rId17" Type="http://schemas.openxmlformats.org/officeDocument/2006/relationships/hyperlink" Target="mailto:mangalam.kumar@softwareag.com" TargetMode="External"/><Relationship Id="rId18" Type="http://schemas.openxmlformats.org/officeDocument/2006/relationships/hyperlink" Target="mailto:sundaralingam.pashupathy@syngeneintl.com" TargetMode="External"/><Relationship Id="rId19" Type="http://schemas.openxmlformats.org/officeDocument/2006/relationships/hyperlink" Target="mailto:suraj.pinto@target.com" TargetMode="External"/><Relationship Id="rId1" Type="http://schemas.openxmlformats.org/officeDocument/2006/relationships/hyperlink" Target="mailto:shishir.kumar@airbus.com" TargetMode="External"/><Relationship Id="rId2" Type="http://schemas.openxmlformats.org/officeDocument/2006/relationships/hyperlink" Target="mailto:shsundar@akamai.com" TargetMode="External"/><Relationship Id="rId3" Type="http://schemas.openxmlformats.org/officeDocument/2006/relationships/hyperlink" Target="mailto:hitler.carvalho@alcatel-lucent.com" TargetMode="External"/><Relationship Id="rId4" Type="http://schemas.openxmlformats.org/officeDocument/2006/relationships/hyperlink" Target="mailto:raghavendra.bhat@altisource.com" TargetMode="External"/><Relationship Id="rId5" Type="http://schemas.openxmlformats.org/officeDocument/2006/relationships/hyperlink" Target="mailto:dipti.nayak@altran.com" TargetMode="External"/><Relationship Id="rId6" Type="http://schemas.openxmlformats.org/officeDocument/2006/relationships/hyperlink" Target="mailto:debobrata.hembram@aon.com" TargetMode="External"/><Relationship Id="rId7" Type="http://schemas.openxmlformats.org/officeDocument/2006/relationships/hyperlink" Target="mailto:naqeeb_syed@amat.com" TargetMode="External"/><Relationship Id="rId8" Type="http://schemas.openxmlformats.org/officeDocument/2006/relationships/hyperlink" Target="mailto:varsha.singh@arm.com" TargetMode="External"/></Relationships>
</file>

<file path=xl/worksheets/_rels/sheet2.xml.rels><?xml version="1.0" encoding="UTF-8" standalone="yes"?>
<Relationships xmlns="http://schemas.openxmlformats.org/package/2006/relationships"><Relationship Id="rId142" Type="http://schemas.openxmlformats.org/officeDocument/2006/relationships/hyperlink" Target="mailto:ramesh@textron.com" TargetMode="External"/><Relationship Id="rId143" Type="http://schemas.openxmlformats.org/officeDocument/2006/relationships/hyperlink" Target="mailto:ntandan@textron.com" TargetMode="External"/><Relationship Id="rId144" Type="http://schemas.openxmlformats.org/officeDocument/2006/relationships/hyperlink" Target="mailto:monarch.limaye@softwareag.com" TargetMode="External"/><Relationship Id="rId145" Type="http://schemas.openxmlformats.org/officeDocument/2006/relationships/hyperlink" Target="mailto:mangalam.kumar@softwareag.com" TargetMode="External"/><Relationship Id="rId146" Type="http://schemas.openxmlformats.org/officeDocument/2006/relationships/hyperlink" Target="mailto:mangalam.kumar@softwareag.com" TargetMode="External"/><Relationship Id="rId147" Type="http://schemas.openxmlformats.org/officeDocument/2006/relationships/hyperlink" Target="mailto:chaitra.shashikumar@softwareag.com" TargetMode="External"/><Relationship Id="rId148" Type="http://schemas.openxmlformats.org/officeDocument/2006/relationships/hyperlink" Target="mailto:pbhattad@textron.com" TargetMode="External"/><Relationship Id="rId149" Type="http://schemas.openxmlformats.org/officeDocument/2006/relationships/hyperlink" Target="mailto:bhumika.srivastava@in.tesco.com" TargetMode="External"/><Relationship Id="rId40" Type="http://schemas.openxmlformats.org/officeDocument/2006/relationships/hyperlink" Target="mailto:preejith.shashi@tangoe.com" TargetMode="External"/><Relationship Id="rId41" Type="http://schemas.openxmlformats.org/officeDocument/2006/relationships/hyperlink" Target="mailto:janhavi.joshi@amadeus.com" TargetMode="External"/><Relationship Id="rId42" Type="http://schemas.openxmlformats.org/officeDocument/2006/relationships/hyperlink" Target="mailto:daneshia.sethi@amadeus.com" TargetMode="External"/><Relationship Id="rId43" Type="http://schemas.openxmlformats.org/officeDocument/2006/relationships/hyperlink" Target="mailto:mohamed.abbas@amadeus.com" TargetMode="External"/><Relationship Id="rId44" Type="http://schemas.openxmlformats.org/officeDocument/2006/relationships/hyperlink" Target="mailto:sarvesh.vaidya@tangoe.com" TargetMode="External"/><Relationship Id="rId45" Type="http://schemas.openxmlformats.org/officeDocument/2006/relationships/hyperlink" Target="mailto:priyanka@metricstream.com" TargetMode="External"/><Relationship Id="rId46" Type="http://schemas.openxmlformats.org/officeDocument/2006/relationships/hyperlink" Target="mailto:shreedevi.roogi@sabre.com" TargetMode="External"/><Relationship Id="rId47" Type="http://schemas.openxmlformats.org/officeDocument/2006/relationships/hyperlink" Target="mailto:nihar.gundumalla@metricstream.com" TargetMode="External"/><Relationship Id="rId48" Type="http://schemas.openxmlformats.org/officeDocument/2006/relationships/hyperlink" Target="mailto:trinette@qualcomm.com" TargetMode="External"/><Relationship Id="rId49" Type="http://schemas.openxmlformats.org/officeDocument/2006/relationships/hyperlink" Target="mailto:muralir@qualcomm.com" TargetMode="External"/><Relationship Id="rId80" Type="http://schemas.openxmlformats.org/officeDocument/2006/relationships/hyperlink" Target="mailto:Sharmistha.Deb@ca.com" TargetMode="External"/><Relationship Id="rId81" Type="http://schemas.openxmlformats.org/officeDocument/2006/relationships/hyperlink" Target="mailto:Archana.Sali@ca.com" TargetMode="External"/><Relationship Id="rId82" Type="http://schemas.openxmlformats.org/officeDocument/2006/relationships/hyperlink" Target="mailto:Sunil.Sankar@ca.com" TargetMode="External"/><Relationship Id="rId83" Type="http://schemas.openxmlformats.org/officeDocument/2006/relationships/hyperlink" Target="mailto:Archana.Sali@ca.com" TargetMode="External"/><Relationship Id="rId84" Type="http://schemas.openxmlformats.org/officeDocument/2006/relationships/hyperlink" Target="mailto:vikas.kumar@syniverse.com" TargetMode="External"/><Relationship Id="rId85" Type="http://schemas.openxmlformats.org/officeDocument/2006/relationships/hyperlink" Target="mailto:satish.manne@cognizant.com" TargetMode="External"/><Relationship Id="rId86" Type="http://schemas.openxmlformats.org/officeDocument/2006/relationships/hyperlink" Target="mailto:warner.jude@cognizant.com" TargetMode="External"/><Relationship Id="rId87" Type="http://schemas.openxmlformats.org/officeDocument/2006/relationships/hyperlink" Target="mailto:aarif.aziz@ge.com" TargetMode="External"/><Relationship Id="rId88" Type="http://schemas.openxmlformats.org/officeDocument/2006/relationships/hyperlink" Target="mailto:mona.hakeem@ge.com" TargetMode="External"/><Relationship Id="rId89" Type="http://schemas.openxmlformats.org/officeDocument/2006/relationships/hyperlink" Target="mailto:rahul.nandi@hp.com" TargetMode="External"/><Relationship Id="rId110" Type="http://schemas.openxmlformats.org/officeDocument/2006/relationships/hyperlink" Target="mailto:gmanoj@novell.com" TargetMode="External"/><Relationship Id="rId111" Type="http://schemas.openxmlformats.org/officeDocument/2006/relationships/hyperlink" Target="mailto:aditya@randstad.in" TargetMode="External"/><Relationship Id="rId112" Type="http://schemas.openxmlformats.org/officeDocument/2006/relationships/hyperlink" Target="mailto:kartik.m@randstad.in" TargetMode="External"/><Relationship Id="rId113" Type="http://schemas.openxmlformats.org/officeDocument/2006/relationships/hyperlink" Target="mailto:pranav.sabherwal@wipro.com" TargetMode="External"/><Relationship Id="rId114" Type="http://schemas.openxmlformats.org/officeDocument/2006/relationships/hyperlink" Target="mailto:shravan@vmware.com" TargetMode="External"/><Relationship Id="rId115" Type="http://schemas.openxmlformats.org/officeDocument/2006/relationships/hyperlink" Target="mailto:vikas.kumar@syniverse.com" TargetMode="External"/><Relationship Id="rId116" Type="http://schemas.openxmlformats.org/officeDocument/2006/relationships/hyperlink" Target="mailto:sudheer.g@samsung.com" TargetMode="External"/><Relationship Id="rId117" Type="http://schemas.openxmlformats.org/officeDocument/2006/relationships/hyperlink" Target="mailto:vijay.al@samsung.com" TargetMode="External"/><Relationship Id="rId118" Type="http://schemas.openxmlformats.org/officeDocument/2006/relationships/hyperlink" Target="mailto:anitha.asrani@cognizant.com" TargetMode="External"/><Relationship Id="rId119" Type="http://schemas.openxmlformats.org/officeDocument/2006/relationships/hyperlink" Target="mailto:vijay.hm@cognizant.com" TargetMode="External"/><Relationship Id="rId150" Type="http://schemas.openxmlformats.org/officeDocument/2006/relationships/hyperlink" Target="mailto:nick.williams@in.tesco.com" TargetMode="External"/><Relationship Id="rId151" Type="http://schemas.openxmlformats.org/officeDocument/2006/relationships/hyperlink" Target="mailto:abraham.cherian@in.tesco.com" TargetMode="External"/><Relationship Id="rId152" Type="http://schemas.openxmlformats.org/officeDocument/2006/relationships/hyperlink" Target="mailto:sundaralingam.pashupathy@syngeneintl.com" TargetMode="External"/><Relationship Id="rId10" Type="http://schemas.openxmlformats.org/officeDocument/2006/relationships/hyperlink" Target="mailto:somnath.bhagavatula@atkinsglobal.com" TargetMode="External"/><Relationship Id="rId11" Type="http://schemas.openxmlformats.org/officeDocument/2006/relationships/hyperlink" Target="mailto:purushotham.k@atkinsglobal.com" TargetMode="External"/><Relationship Id="rId12" Type="http://schemas.openxmlformats.org/officeDocument/2006/relationships/hyperlink" Target="mailto:bhavesh.a.patel@capgemini.com" TargetMode="External"/><Relationship Id="rId13" Type="http://schemas.openxmlformats.org/officeDocument/2006/relationships/hyperlink" Target="mailto:vijaya.g@capgemini.com" TargetMode="External"/><Relationship Id="rId14" Type="http://schemas.openxmlformats.org/officeDocument/2006/relationships/hyperlink" Target="mailto:raghavendra.bhat@altisource.com" TargetMode="External"/><Relationship Id="rId15" Type="http://schemas.openxmlformats.org/officeDocument/2006/relationships/hyperlink" Target="mailto:sarimanitah2@csc.com" TargetMode="External"/><Relationship Id="rId16" Type="http://schemas.openxmlformats.org/officeDocument/2006/relationships/hyperlink" Target="mailto:nramachandr8@csc.com" TargetMode="External"/><Relationship Id="rId17" Type="http://schemas.openxmlformats.org/officeDocument/2006/relationships/hyperlink" Target="mailto:shwsingh@adobe.com" TargetMode="External"/><Relationship Id="rId18" Type="http://schemas.openxmlformats.org/officeDocument/2006/relationships/hyperlink" Target="mailto:pshrivas@adobe.com" TargetMode="External"/><Relationship Id="rId19" Type="http://schemas.openxmlformats.org/officeDocument/2006/relationships/hyperlink" Target="mailto:Sowmya.KothandaRaamon@altisource.com" TargetMode="External"/><Relationship Id="rId153" Type="http://schemas.openxmlformats.org/officeDocument/2006/relationships/hyperlink" Target="mailto:pramod.devaiah@in.tesco.com" TargetMode="External"/><Relationship Id="rId154" Type="http://schemas.openxmlformats.org/officeDocument/2006/relationships/hyperlink" Target="mailto:susan15@yahoo-inc.com" TargetMode="External"/><Relationship Id="rId155" Type="http://schemas.openxmlformats.org/officeDocument/2006/relationships/hyperlink" Target="mailto:radhap@yahoo-in.com" TargetMode="External"/><Relationship Id="rId156" Type="http://schemas.openxmlformats.org/officeDocument/2006/relationships/hyperlink" Target="mailto:aniban@yahoo-in.com" TargetMode="External"/><Relationship Id="rId157" Type="http://schemas.openxmlformats.org/officeDocument/2006/relationships/hyperlink" Target="mailto:rashmi.jha@in.yokogawa.com" TargetMode="External"/><Relationship Id="rId158" Type="http://schemas.openxmlformats.org/officeDocument/2006/relationships/hyperlink" Target="mailto:libin.thomas@all" TargetMode="External"/><Relationship Id="rId159" Type="http://schemas.openxmlformats.org/officeDocument/2006/relationships/printerSettings" Target="../printerSettings/printerSettings2.bin"/><Relationship Id="rId50" Type="http://schemas.openxmlformats.org/officeDocument/2006/relationships/hyperlink" Target="mailto:preetis@thoughtworks.com" TargetMode="External"/><Relationship Id="rId51" Type="http://schemas.openxmlformats.org/officeDocument/2006/relationships/hyperlink" Target="mailto:akashbothera@fico.com" TargetMode="External"/><Relationship Id="rId52" Type="http://schemas.openxmlformats.org/officeDocument/2006/relationships/hyperlink" Target="mailto:vidyadhar.reddy@redbus.in" TargetMode="External"/><Relationship Id="rId53" Type="http://schemas.openxmlformats.org/officeDocument/2006/relationships/hyperlink" Target="mailto:sai.prasad@redbus.in" TargetMode="External"/><Relationship Id="rId54" Type="http://schemas.openxmlformats.org/officeDocument/2006/relationships/hyperlink" Target="mailto:vandana.sharma@myntra.com" TargetMode="External"/><Relationship Id="rId55" Type="http://schemas.openxmlformats.org/officeDocument/2006/relationships/hyperlink" Target="mailto:saloni.bhargava@myntra.com" TargetMode="External"/><Relationship Id="rId56" Type="http://schemas.openxmlformats.org/officeDocument/2006/relationships/hyperlink" Target="mailto:rashmi.narayan@zebra.com" TargetMode="External"/><Relationship Id="rId57" Type="http://schemas.openxmlformats.org/officeDocument/2006/relationships/hyperlink" Target="mailto:kvg386@zebra.com" TargetMode="External"/><Relationship Id="rId58" Type="http://schemas.openxmlformats.org/officeDocument/2006/relationships/hyperlink" Target="mailto:shishir.kumar@airbus.com" TargetMode="External"/><Relationship Id="rId59" Type="http://schemas.openxmlformats.org/officeDocument/2006/relationships/hyperlink" Target="mailto:sbomq@allstate.com" TargetMode="External"/><Relationship Id="rId90" Type="http://schemas.openxmlformats.org/officeDocument/2006/relationships/hyperlink" Target="mailto:mrinalini.nayak@hp.com" TargetMode="External"/><Relationship Id="rId91" Type="http://schemas.openxmlformats.org/officeDocument/2006/relationships/hyperlink" Target="mailto:koushik.raghavendra@in.ibm.com" TargetMode="External"/><Relationship Id="rId92" Type="http://schemas.openxmlformats.org/officeDocument/2006/relationships/hyperlink" Target="mailto:ansuman.patnaik@infinite.com" TargetMode="External"/><Relationship Id="rId93" Type="http://schemas.openxmlformats.org/officeDocument/2006/relationships/hyperlink" Target="mailto:debashish.c@in.ibm.com" TargetMode="External"/><Relationship Id="rId94" Type="http://schemas.openxmlformats.org/officeDocument/2006/relationships/hyperlink" Target="mailto:jayaram.ea@in.ibm.com" TargetMode="External"/><Relationship Id="rId95" Type="http://schemas.openxmlformats.org/officeDocument/2006/relationships/hyperlink" Target="mailto:debashish.c@in.ibm.com" TargetMode="External"/><Relationship Id="rId96" Type="http://schemas.openxmlformats.org/officeDocument/2006/relationships/hyperlink" Target="mailto:abhi.nair@in.ibm.com" TargetMode="External"/><Relationship Id="rId97" Type="http://schemas.openxmlformats.org/officeDocument/2006/relationships/hyperlink" Target="mailto:reenaroy@in.ibm.com" TargetMode="External"/><Relationship Id="rId98" Type="http://schemas.openxmlformats.org/officeDocument/2006/relationships/hyperlink" Target="mailto:donald.mitchell@in.ibm.com" TargetMode="External"/><Relationship Id="rId99" Type="http://schemas.openxmlformats.org/officeDocument/2006/relationships/hyperlink" Target="mailto:saksgaur@in.ibm.com" TargetMode="External"/><Relationship Id="rId120" Type="http://schemas.openxmlformats.org/officeDocument/2006/relationships/hyperlink" Target="mailto:joseph.john@wipro.com" TargetMode="External"/><Relationship Id="rId121" Type="http://schemas.openxmlformats.org/officeDocument/2006/relationships/hyperlink" Target="mailto:gulpreet.anand@wipro.com" TargetMode="External"/><Relationship Id="rId122" Type="http://schemas.openxmlformats.org/officeDocument/2006/relationships/hyperlink" Target="mailto:ritu.bhargava@wipro.com" TargetMode="External"/><Relationship Id="rId123" Type="http://schemas.openxmlformats.org/officeDocument/2006/relationships/hyperlink" Target="mailto:pranav.sabherwal@wipro.com" TargetMode="External"/><Relationship Id="rId124" Type="http://schemas.openxmlformats.org/officeDocument/2006/relationships/hyperlink" Target="mailto:arpita.patel1@wipro.com" TargetMode="External"/><Relationship Id="rId125" Type="http://schemas.openxmlformats.org/officeDocument/2006/relationships/hyperlink" Target="mailto:pramdoss@in.imshealth.com" TargetMode="External"/><Relationship Id="rId126" Type="http://schemas.openxmlformats.org/officeDocument/2006/relationships/hyperlink" Target="mailto:srivathsan.s@randstad.in" TargetMode="External"/><Relationship Id="rId127" Type="http://schemas.openxmlformats.org/officeDocument/2006/relationships/hyperlink" Target="mailto:spadmanabhan@novell.com&#160;" TargetMode="External"/><Relationship Id="rId128" Type="http://schemas.openxmlformats.org/officeDocument/2006/relationships/hyperlink" Target="mailto:sreyoshi.banerjee@accenture.com" TargetMode="External"/><Relationship Id="rId129" Type="http://schemas.openxmlformats.org/officeDocument/2006/relationships/hyperlink" Target="mailto:sanjeev.m.s@accenture.com" TargetMode="External"/><Relationship Id="rId160" Type="http://schemas.openxmlformats.org/officeDocument/2006/relationships/vmlDrawing" Target="../drawings/vmlDrawing1.vml"/><Relationship Id="rId161" Type="http://schemas.openxmlformats.org/officeDocument/2006/relationships/comments" Target="../comments1.xml"/><Relationship Id="rId20" Type="http://schemas.openxmlformats.org/officeDocument/2006/relationships/hyperlink" Target="mailto:spalanga@adobe.com" TargetMode="External"/><Relationship Id="rId21" Type="http://schemas.openxmlformats.org/officeDocument/2006/relationships/hyperlink" Target="mailto:vverma51@csc.com" TargetMode="External"/><Relationship Id="rId22" Type="http://schemas.openxmlformats.org/officeDocument/2006/relationships/hyperlink" Target="mailto:pravkris@adobe.com" TargetMode="External"/><Relationship Id="rId23" Type="http://schemas.openxmlformats.org/officeDocument/2006/relationships/hyperlink" Target="mailto:pgupta99@csc.com" TargetMode="External"/><Relationship Id="rId24" Type="http://schemas.openxmlformats.org/officeDocument/2006/relationships/hyperlink" Target="mailto:sharmila.santosh@altisource.com" TargetMode="External"/><Relationship Id="rId25" Type="http://schemas.openxmlformats.org/officeDocument/2006/relationships/hyperlink" Target="mailto:prrao@adobe.com" TargetMode="External"/><Relationship Id="rId26" Type="http://schemas.openxmlformats.org/officeDocument/2006/relationships/hyperlink" Target="mailto:suresh.ramachandra@capgemini.com" TargetMode="External"/><Relationship Id="rId27" Type="http://schemas.openxmlformats.org/officeDocument/2006/relationships/hyperlink" Target="mailto:jonas.prasanna@capgemini.com" TargetMode="External"/><Relationship Id="rId28" Type="http://schemas.openxmlformats.org/officeDocument/2006/relationships/hyperlink" Target="mailto:ragrawal@informatica.com" TargetMode="External"/><Relationship Id="rId29" Type="http://schemas.openxmlformats.org/officeDocument/2006/relationships/hyperlink" Target="mailto:amitesh_pandey01@infosys.com" TargetMode="External"/><Relationship Id="rId60" Type="http://schemas.openxmlformats.org/officeDocument/2006/relationships/hyperlink" Target="mailto:ruchika.sethi@xe02.ey.com" TargetMode="External"/><Relationship Id="rId61" Type="http://schemas.openxmlformats.org/officeDocument/2006/relationships/hyperlink" Target="mailto:Marjeri.Mathew@xe02.ey.com" TargetMode="External"/><Relationship Id="rId62" Type="http://schemas.openxmlformats.org/officeDocument/2006/relationships/hyperlink" Target="mailto:sudeshna.chakravarti@xe02.ey.com" TargetMode="External"/><Relationship Id="rId63" Type="http://schemas.openxmlformats.org/officeDocument/2006/relationships/hyperlink" Target="mailto:Rajni.Singh@xe02.ey.com" TargetMode="External"/><Relationship Id="rId64" Type="http://schemas.openxmlformats.org/officeDocument/2006/relationships/hyperlink" Target="mailto:Paul.Rajan@xe02.ey.com" TargetMode="External"/><Relationship Id="rId65" Type="http://schemas.openxmlformats.org/officeDocument/2006/relationships/hyperlink" Target="mailto:Naveen.Subbarathniah@xe02.ey.com" TargetMode="External"/><Relationship Id="rId66" Type="http://schemas.openxmlformats.org/officeDocument/2006/relationships/hyperlink" Target="mailto:mahesh.ramalingam@thomsonreuters.com" TargetMode="External"/><Relationship Id="rId67" Type="http://schemas.openxmlformats.org/officeDocument/2006/relationships/hyperlink" Target="mailto:shreeram.varahan@thomsonreuters.com" TargetMode="External"/><Relationship Id="rId68" Type="http://schemas.openxmlformats.org/officeDocument/2006/relationships/hyperlink" Target="mailto:rex.michael@thomsonreuters.com" TargetMode="External"/><Relationship Id="rId69" Type="http://schemas.openxmlformats.org/officeDocument/2006/relationships/hyperlink" Target="mailto:sreyoshi.banerjee@accenture.com" TargetMode="External"/><Relationship Id="rId130" Type="http://schemas.openxmlformats.org/officeDocument/2006/relationships/hyperlink" Target="mailto:pathy@motorola.com" TargetMode="External"/><Relationship Id="rId131" Type="http://schemas.openxmlformats.org/officeDocument/2006/relationships/hyperlink" Target="mailto:siby.thomas@capgemini.com" TargetMode="External"/><Relationship Id="rId132" Type="http://schemas.openxmlformats.org/officeDocument/2006/relationships/hyperlink" Target="mailto:ramyaga@amazon.com" TargetMode="External"/><Relationship Id="rId133" Type="http://schemas.openxmlformats.org/officeDocument/2006/relationships/hyperlink" Target="mailto:sindhu_nair@mcafee.com" TargetMode="External"/><Relationship Id="rId134" Type="http://schemas.openxmlformats.org/officeDocument/2006/relationships/hyperlink" Target="mailto:sreejay.puthiyapurayil@emc.com&#160;" TargetMode="External"/><Relationship Id="rId135" Type="http://schemas.openxmlformats.org/officeDocument/2006/relationships/hyperlink" Target="mailto:nitin.dc@samsung.com" TargetMode="External"/><Relationship Id="rId136" Type="http://schemas.openxmlformats.org/officeDocument/2006/relationships/hyperlink" Target="mailto:rtalreja@visa.com" TargetMode="External"/><Relationship Id="rId137" Type="http://schemas.openxmlformats.org/officeDocument/2006/relationships/hyperlink" Target="mailto:sunil.joice@harman.com" TargetMode="External"/><Relationship Id="rId138" Type="http://schemas.openxmlformats.org/officeDocument/2006/relationships/hyperlink" Target="mailto:vinita.shrivastava@harman.com" TargetMode="External"/><Relationship Id="rId139" Type="http://schemas.openxmlformats.org/officeDocument/2006/relationships/hyperlink" Target="mailto:dayakar.epuru@harman.com" TargetMode="External"/><Relationship Id="rId30" Type="http://schemas.openxmlformats.org/officeDocument/2006/relationships/hyperlink" Target="mailto:raghav_k@infosys.com" TargetMode="External"/><Relationship Id="rId31" Type="http://schemas.openxmlformats.org/officeDocument/2006/relationships/hyperlink" Target="mailto:Rashid_kareem@infosys.com" TargetMode="External"/><Relationship Id="rId32" Type="http://schemas.openxmlformats.org/officeDocument/2006/relationships/hyperlink" Target="mailto:nidhi_shukla@infosys.com" TargetMode="External"/><Relationship Id="rId33" Type="http://schemas.openxmlformats.org/officeDocument/2006/relationships/hyperlink" Target="mailto:naveen.kumar@sandisk.com" TargetMode="External"/><Relationship Id="rId34" Type="http://schemas.openxmlformats.org/officeDocument/2006/relationships/hyperlink" Target="mailto:anil.warrier@sap.com" TargetMode="External"/><Relationship Id="rId35" Type="http://schemas.openxmlformats.org/officeDocument/2006/relationships/hyperlink" Target="mailto:bkaklotar@informatica.com" TargetMode="External"/><Relationship Id="rId36" Type="http://schemas.openxmlformats.org/officeDocument/2006/relationships/hyperlink" Target="mailto:sphalgunan@informatica.com" TargetMode="External"/><Relationship Id="rId37" Type="http://schemas.openxmlformats.org/officeDocument/2006/relationships/hyperlink" Target="mailto:sagar_raina@mcafee.com" TargetMode="External"/><Relationship Id="rId38" Type="http://schemas.openxmlformats.org/officeDocument/2006/relationships/hyperlink" Target="mailto:vijayj@informatica.com" TargetMode="External"/><Relationship Id="rId39" Type="http://schemas.openxmlformats.org/officeDocument/2006/relationships/hyperlink" Target="mailto:sudhindra.poojary@in.yokogawa.com" TargetMode="External"/><Relationship Id="rId70" Type="http://schemas.openxmlformats.org/officeDocument/2006/relationships/hyperlink" Target="mailto:sukhpreet.kalra@accenture.com" TargetMode="External"/><Relationship Id="rId71" Type="http://schemas.openxmlformats.org/officeDocument/2006/relationships/hyperlink" Target="mailto:shsundar@akamai.com" TargetMode="External"/><Relationship Id="rId72" Type="http://schemas.openxmlformats.org/officeDocument/2006/relationships/hyperlink" Target="mailto:beena.ramakrishnan@accenture.com" TargetMode="External"/><Relationship Id="rId73" Type="http://schemas.openxmlformats.org/officeDocument/2006/relationships/hyperlink" Target="mailto:manoj.biswas@accenture.com" TargetMode="External"/><Relationship Id="rId74" Type="http://schemas.openxmlformats.org/officeDocument/2006/relationships/hyperlink" Target="mailto:pritir@amazon.com" TargetMode="External"/><Relationship Id="rId75" Type="http://schemas.openxmlformats.org/officeDocument/2006/relationships/hyperlink" Target="mailto:ssulegai@amazon.com" TargetMode="External"/><Relationship Id="rId76" Type="http://schemas.openxmlformats.org/officeDocument/2006/relationships/hyperlink" Target="mailto:debobrata.hembram@aon.com" TargetMode="External"/><Relationship Id="rId77" Type="http://schemas.openxmlformats.org/officeDocument/2006/relationships/hyperlink" Target="mailto:amitabh.hajela@aonhewit.com" TargetMode="External"/><Relationship Id="rId78" Type="http://schemas.openxmlformats.org/officeDocument/2006/relationships/hyperlink" Target="mailto:bmkrishn@aonhewitt.com" TargetMode="External"/><Relationship Id="rId79" Type="http://schemas.openxmlformats.org/officeDocument/2006/relationships/hyperlink" Target="mailto:bhayanic@amazon.com" TargetMode="External"/><Relationship Id="rId1" Type="http://schemas.openxmlformats.org/officeDocument/2006/relationships/hyperlink" Target="mailto:john.william@gm.com" TargetMode="External"/><Relationship Id="rId2" Type="http://schemas.openxmlformats.org/officeDocument/2006/relationships/hyperlink" Target="mailto:knagar@adobe.com" TargetMode="External"/><Relationship Id="rId3" Type="http://schemas.openxmlformats.org/officeDocument/2006/relationships/hyperlink" Target="mailto:sanjay.k-raj@capgemini.com" TargetMode="External"/><Relationship Id="rId4" Type="http://schemas.openxmlformats.org/officeDocument/2006/relationships/hyperlink" Target="mailto:vinod.kutty@allianzcornhill.co.in" TargetMode="External"/><Relationship Id="rId100" Type="http://schemas.openxmlformats.org/officeDocument/2006/relationships/hyperlink" Target="mailto:Christopher_Anand@mindtree.com" TargetMode="External"/><Relationship Id="rId101" Type="http://schemas.openxmlformats.org/officeDocument/2006/relationships/hyperlink" Target="mailto:Osborne_Pereira@mindtree.com" TargetMode="External"/><Relationship Id="rId102" Type="http://schemas.openxmlformats.org/officeDocument/2006/relationships/hyperlink" Target="mailto:ravi@mindtree.com" TargetMode="External"/><Relationship Id="rId103" Type="http://schemas.openxmlformats.org/officeDocument/2006/relationships/hyperlink" Target="mailto:Krishnakumar_Natarajan@mindtree.com" TargetMode="External"/><Relationship Id="rId104" Type="http://schemas.openxmlformats.org/officeDocument/2006/relationships/hyperlink" Target="mailto:vijay.linus@netapp.com" TargetMode="External"/><Relationship Id="rId105" Type="http://schemas.openxmlformats.org/officeDocument/2006/relationships/hyperlink" Target="mailto:manjari@netapp.com" TargetMode="External"/><Relationship Id="rId106" Type="http://schemas.openxmlformats.org/officeDocument/2006/relationships/hyperlink" Target="mailto:Namitha.Manjunath@mphasis.com" TargetMode="External"/><Relationship Id="rId107" Type="http://schemas.openxmlformats.org/officeDocument/2006/relationships/hyperlink" Target="mailto:vinayak_dubey@mindtree.com" TargetMode="External"/><Relationship Id="rId108" Type="http://schemas.openxmlformats.org/officeDocument/2006/relationships/hyperlink" Target="mailto:phanideepak.akella@mphasis.com" TargetMode="External"/><Relationship Id="rId109" Type="http://schemas.openxmlformats.org/officeDocument/2006/relationships/hyperlink" Target="mailto:sangeeta.malik@wipro.com" TargetMode="External"/><Relationship Id="rId5" Type="http://schemas.openxmlformats.org/officeDocument/2006/relationships/hyperlink" Target="mailto:shibith.ps@capgemini.com" TargetMode="External"/><Relationship Id="rId6" Type="http://schemas.openxmlformats.org/officeDocument/2006/relationships/hyperlink" Target="mailto:rakesh.sj@capgemini.com" TargetMode="External"/><Relationship Id="rId7" Type="http://schemas.openxmlformats.org/officeDocument/2006/relationships/hyperlink" Target="mailto:dipanwita.chakraborty@allianzcornhill.co.in" TargetMode="External"/><Relationship Id="rId8" Type="http://schemas.openxmlformats.org/officeDocument/2006/relationships/hyperlink" Target="mailto:praveen-kumar.sk@capgemini.com" TargetMode="External"/><Relationship Id="rId9" Type="http://schemas.openxmlformats.org/officeDocument/2006/relationships/hyperlink" Target="mailto:bharat.bhartia@atkinsglobal.com" TargetMode="External"/><Relationship Id="rId140" Type="http://schemas.openxmlformats.org/officeDocument/2006/relationships/hyperlink" Target="mailto:suraj.pinto@target.com" TargetMode="External"/><Relationship Id="rId141" Type="http://schemas.openxmlformats.org/officeDocument/2006/relationships/hyperlink" Target="mailto:naqeeb_syed@amat.com" TargetMode="External"/></Relationships>
</file>

<file path=xl/worksheets/_rels/sheet3.xml.rels><?xml version="1.0" encoding="UTF-8" standalone="yes"?>
<Relationships xmlns="http://schemas.openxmlformats.org/package/2006/relationships"><Relationship Id="rId142" Type="http://schemas.openxmlformats.org/officeDocument/2006/relationships/hyperlink" Target="mailto:ramyaga@amazon.com" TargetMode="External"/><Relationship Id="rId143" Type="http://schemas.openxmlformats.org/officeDocument/2006/relationships/hyperlink" Target="mailto:sindhu_nair@mcafee.com" TargetMode="External"/><Relationship Id="rId144" Type="http://schemas.openxmlformats.org/officeDocument/2006/relationships/hyperlink" Target="mailto:sreejay.puthiyapurayil@emc.com&#160;" TargetMode="External"/><Relationship Id="rId145" Type="http://schemas.openxmlformats.org/officeDocument/2006/relationships/hyperlink" Target="mailto:nitin.dc@samsung.com" TargetMode="External"/><Relationship Id="rId146" Type="http://schemas.openxmlformats.org/officeDocument/2006/relationships/hyperlink" Target="mailto:rtalreja@visa.com" TargetMode="External"/><Relationship Id="rId147" Type="http://schemas.openxmlformats.org/officeDocument/2006/relationships/hyperlink" Target="mailto:sunil.joice@harman.com" TargetMode="External"/><Relationship Id="rId148" Type="http://schemas.openxmlformats.org/officeDocument/2006/relationships/hyperlink" Target="mailto:vinita.shrivastava@harman.com" TargetMode="External"/><Relationship Id="rId149" Type="http://schemas.openxmlformats.org/officeDocument/2006/relationships/hyperlink" Target="mailto:dayakar.epuru@harman.com" TargetMode="External"/><Relationship Id="rId40" Type="http://schemas.openxmlformats.org/officeDocument/2006/relationships/hyperlink" Target="mailto:nidhi_shukla@infosys.com" TargetMode="External"/><Relationship Id="rId41" Type="http://schemas.openxmlformats.org/officeDocument/2006/relationships/hyperlink" Target="mailto:naveen.kumar@sandisk.com" TargetMode="External"/><Relationship Id="rId42" Type="http://schemas.openxmlformats.org/officeDocument/2006/relationships/hyperlink" Target="mailto:anil.warrier@sap.com" TargetMode="External"/><Relationship Id="rId43" Type="http://schemas.openxmlformats.org/officeDocument/2006/relationships/hyperlink" Target="mailto:bkaklotar@informatica.com" TargetMode="External"/><Relationship Id="rId44" Type="http://schemas.openxmlformats.org/officeDocument/2006/relationships/hyperlink" Target="mailto:sphalgunan@informatica.com" TargetMode="External"/><Relationship Id="rId45" Type="http://schemas.openxmlformats.org/officeDocument/2006/relationships/hyperlink" Target="mailto:sagar_raina@mcafee.com" TargetMode="External"/><Relationship Id="rId46" Type="http://schemas.openxmlformats.org/officeDocument/2006/relationships/hyperlink" Target="mailto:vijayj@informatica.com" TargetMode="External"/><Relationship Id="rId47" Type="http://schemas.openxmlformats.org/officeDocument/2006/relationships/hyperlink" Target="mailto:sudhindra.poojary@in.yokogawa.com" TargetMode="External"/><Relationship Id="rId48" Type="http://schemas.openxmlformats.org/officeDocument/2006/relationships/hyperlink" Target="mailto:preejith.shashi@tangoe.com" TargetMode="External"/><Relationship Id="rId49" Type="http://schemas.openxmlformats.org/officeDocument/2006/relationships/hyperlink" Target="mailto:janhavi.joshi@amadeus.com" TargetMode="External"/><Relationship Id="rId80" Type="http://schemas.openxmlformats.org/officeDocument/2006/relationships/hyperlink" Target="mailto:shsundar@akamai.com" TargetMode="External"/><Relationship Id="rId81" Type="http://schemas.openxmlformats.org/officeDocument/2006/relationships/hyperlink" Target="mailto:beena.ramakrishnan@accenture.com" TargetMode="External"/><Relationship Id="rId82" Type="http://schemas.openxmlformats.org/officeDocument/2006/relationships/hyperlink" Target="mailto:manoj.biswas@accenture.com" TargetMode="External"/><Relationship Id="rId83" Type="http://schemas.openxmlformats.org/officeDocument/2006/relationships/hyperlink" Target="mailto:pritir@amazon.com" TargetMode="External"/><Relationship Id="rId84" Type="http://schemas.openxmlformats.org/officeDocument/2006/relationships/hyperlink" Target="mailto:ssulegai@amazon.com" TargetMode="External"/><Relationship Id="rId85" Type="http://schemas.openxmlformats.org/officeDocument/2006/relationships/hyperlink" Target="mailto:debobrata.hembram@aon.com" TargetMode="External"/><Relationship Id="rId86" Type="http://schemas.openxmlformats.org/officeDocument/2006/relationships/hyperlink" Target="mailto:amitabh.hajela@aonhewit.com" TargetMode="External"/><Relationship Id="rId87" Type="http://schemas.openxmlformats.org/officeDocument/2006/relationships/hyperlink" Target="mailto:bmkrishn@aonhewitt.com" TargetMode="External"/><Relationship Id="rId88" Type="http://schemas.openxmlformats.org/officeDocument/2006/relationships/hyperlink" Target="mailto:bhayanic@amazon.com" TargetMode="External"/><Relationship Id="rId89" Type="http://schemas.openxmlformats.org/officeDocument/2006/relationships/hyperlink" Target="mailto:Sharmistha.Deb@ca.com" TargetMode="External"/><Relationship Id="rId110" Type="http://schemas.openxmlformats.org/officeDocument/2006/relationships/hyperlink" Target="mailto:Osborne_Pereira@mindtree.com" TargetMode="External"/><Relationship Id="rId111" Type="http://schemas.openxmlformats.org/officeDocument/2006/relationships/hyperlink" Target="mailto:ravi@mindtree.com" TargetMode="External"/><Relationship Id="rId112" Type="http://schemas.openxmlformats.org/officeDocument/2006/relationships/hyperlink" Target="mailto:Krishnakumar_Natarajan@mindtree.com" TargetMode="External"/><Relationship Id="rId113" Type="http://schemas.openxmlformats.org/officeDocument/2006/relationships/hyperlink" Target="mailto:vijay.linus@netapp.com" TargetMode="External"/><Relationship Id="rId114" Type="http://schemas.openxmlformats.org/officeDocument/2006/relationships/hyperlink" Target="mailto:manjari@netapp.com" TargetMode="External"/><Relationship Id="rId115" Type="http://schemas.openxmlformats.org/officeDocument/2006/relationships/hyperlink" Target="mailto:Namitha.Manjunath@mphasis.com" TargetMode="External"/><Relationship Id="rId116" Type="http://schemas.openxmlformats.org/officeDocument/2006/relationships/hyperlink" Target="mailto:vinayak_dubey@mindtree.com" TargetMode="External"/><Relationship Id="rId117" Type="http://schemas.openxmlformats.org/officeDocument/2006/relationships/hyperlink" Target="mailto:phanideepak.akella@mphasis.com" TargetMode="External"/><Relationship Id="rId118" Type="http://schemas.openxmlformats.org/officeDocument/2006/relationships/hyperlink" Target="mailto:sangeeta.malik@wipro.com" TargetMode="External"/><Relationship Id="rId119" Type="http://schemas.openxmlformats.org/officeDocument/2006/relationships/hyperlink" Target="mailto:gmanoj@novell.com" TargetMode="External"/><Relationship Id="rId150" Type="http://schemas.openxmlformats.org/officeDocument/2006/relationships/hyperlink" Target="mailto:suraj.pinto@target.com" TargetMode="External"/><Relationship Id="rId151" Type="http://schemas.openxmlformats.org/officeDocument/2006/relationships/hyperlink" Target="mailto:naqeeb_syed@amat.com" TargetMode="External"/><Relationship Id="rId152" Type="http://schemas.openxmlformats.org/officeDocument/2006/relationships/hyperlink" Target="mailto:ramesh@textron.com" TargetMode="External"/><Relationship Id="rId10" Type="http://schemas.openxmlformats.org/officeDocument/2006/relationships/hyperlink" Target="mailto:dipanwita.chakraborty@allianzcornhill.co.in" TargetMode="External"/><Relationship Id="rId11" Type="http://schemas.openxmlformats.org/officeDocument/2006/relationships/hyperlink" Target="mailto:praveen-kumar.sk@capgemini.com" TargetMode="External"/><Relationship Id="rId12" Type="http://schemas.openxmlformats.org/officeDocument/2006/relationships/hyperlink" Target="mailto:bharat.bhartia@atkinsglobal.com" TargetMode="External"/><Relationship Id="rId13" Type="http://schemas.openxmlformats.org/officeDocument/2006/relationships/hyperlink" Target="mailto:somnath.bhagavatula@atkinsglobal.com" TargetMode="External"/><Relationship Id="rId14" Type="http://schemas.openxmlformats.org/officeDocument/2006/relationships/hyperlink" Target="mailto:purushotham.k@atkinsglobal.com" TargetMode="External"/><Relationship Id="rId15" Type="http://schemas.openxmlformats.org/officeDocument/2006/relationships/hyperlink" Target="mailto:bhavesh.a.patel@capgemini.com" TargetMode="External"/><Relationship Id="rId16" Type="http://schemas.openxmlformats.org/officeDocument/2006/relationships/hyperlink" Target="mailto:vijaya.g@capgemini.com" TargetMode="External"/><Relationship Id="rId17" Type="http://schemas.openxmlformats.org/officeDocument/2006/relationships/hyperlink" Target="mailto:raghavendra.bhat@altisource.com" TargetMode="External"/><Relationship Id="rId18" Type="http://schemas.openxmlformats.org/officeDocument/2006/relationships/hyperlink" Target="mailto:sarimanitah2@csc.com" TargetMode="External"/><Relationship Id="rId19" Type="http://schemas.openxmlformats.org/officeDocument/2006/relationships/hyperlink" Target="mailto:nramachandr8@csc.com" TargetMode="External"/><Relationship Id="rId153" Type="http://schemas.openxmlformats.org/officeDocument/2006/relationships/hyperlink" Target="mailto:ntandan@textron.com" TargetMode="External"/><Relationship Id="rId154" Type="http://schemas.openxmlformats.org/officeDocument/2006/relationships/hyperlink" Target="mailto:monarch.limaye@softwareag.com" TargetMode="External"/><Relationship Id="rId155" Type="http://schemas.openxmlformats.org/officeDocument/2006/relationships/hyperlink" Target="mailto:mangalam.kumar@softwareag.com" TargetMode="External"/><Relationship Id="rId156" Type="http://schemas.openxmlformats.org/officeDocument/2006/relationships/hyperlink" Target="mailto:mangalam.kumar@softwareag.com" TargetMode="External"/><Relationship Id="rId157" Type="http://schemas.openxmlformats.org/officeDocument/2006/relationships/hyperlink" Target="mailto:chaitra.shashikumar@softwareag.com" TargetMode="External"/><Relationship Id="rId158" Type="http://schemas.openxmlformats.org/officeDocument/2006/relationships/hyperlink" Target="mailto:pbhattad@textron.com" TargetMode="External"/><Relationship Id="rId159" Type="http://schemas.openxmlformats.org/officeDocument/2006/relationships/hyperlink" Target="mailto:bhumika.srivastava@in.tesco.com" TargetMode="External"/><Relationship Id="rId50" Type="http://schemas.openxmlformats.org/officeDocument/2006/relationships/hyperlink" Target="mailto:daneshia.sethi@amadeus.com" TargetMode="External"/><Relationship Id="rId51" Type="http://schemas.openxmlformats.org/officeDocument/2006/relationships/hyperlink" Target="mailto:mohamed.abbas@amadeus.com" TargetMode="External"/><Relationship Id="rId52" Type="http://schemas.openxmlformats.org/officeDocument/2006/relationships/hyperlink" Target="mailto:sarvesh.vaidya@tangoe.com" TargetMode="External"/><Relationship Id="rId53" Type="http://schemas.openxmlformats.org/officeDocument/2006/relationships/hyperlink" Target="mailto:priyanka@metricstream.com" TargetMode="External"/><Relationship Id="rId54" Type="http://schemas.openxmlformats.org/officeDocument/2006/relationships/hyperlink" Target="mailto:shreedevi.roogi@sabre.com" TargetMode="External"/><Relationship Id="rId55" Type="http://schemas.openxmlformats.org/officeDocument/2006/relationships/hyperlink" Target="mailto:jennifer.prakash@aig.com" TargetMode="External"/><Relationship Id="rId56" Type="http://schemas.openxmlformats.org/officeDocument/2006/relationships/hyperlink" Target="mailto:nihar.gundumalla@metricstream.com" TargetMode="External"/><Relationship Id="rId57" Type="http://schemas.openxmlformats.org/officeDocument/2006/relationships/hyperlink" Target="mailto:trinette@qualcomm.com" TargetMode="External"/><Relationship Id="rId58" Type="http://schemas.openxmlformats.org/officeDocument/2006/relationships/hyperlink" Target="mailto:muralir@qualcomm.com" TargetMode="External"/><Relationship Id="rId59" Type="http://schemas.openxmlformats.org/officeDocument/2006/relationships/hyperlink" Target="mailto:preetis@thoughtworks.com" TargetMode="External"/><Relationship Id="rId90" Type="http://schemas.openxmlformats.org/officeDocument/2006/relationships/hyperlink" Target="mailto:Archana.Sali@ca.com" TargetMode="External"/><Relationship Id="rId91" Type="http://schemas.openxmlformats.org/officeDocument/2006/relationships/hyperlink" Target="mailto:Sunil.Sankar@ca.com" TargetMode="External"/><Relationship Id="rId92" Type="http://schemas.openxmlformats.org/officeDocument/2006/relationships/hyperlink" Target="mailto:Archana.Sali@ca.com" TargetMode="External"/><Relationship Id="rId93" Type="http://schemas.openxmlformats.org/officeDocument/2006/relationships/hyperlink" Target="mailto:vikas.kumar@syniverse.com" TargetMode="External"/><Relationship Id="rId94" Type="http://schemas.openxmlformats.org/officeDocument/2006/relationships/hyperlink" Target="mailto:satish.manne@cognizant.com" TargetMode="External"/><Relationship Id="rId95" Type="http://schemas.openxmlformats.org/officeDocument/2006/relationships/hyperlink" Target="mailto:warner.jude@cognizant.com" TargetMode="External"/><Relationship Id="rId96" Type="http://schemas.openxmlformats.org/officeDocument/2006/relationships/hyperlink" Target="mailto:aarif.aziz@ge.com" TargetMode="External"/><Relationship Id="rId97" Type="http://schemas.openxmlformats.org/officeDocument/2006/relationships/hyperlink" Target="mailto:mona.hakeem@ge.com" TargetMode="External"/><Relationship Id="rId98" Type="http://schemas.openxmlformats.org/officeDocument/2006/relationships/hyperlink" Target="mailto:rahul.nandi@hp.com" TargetMode="External"/><Relationship Id="rId99" Type="http://schemas.openxmlformats.org/officeDocument/2006/relationships/hyperlink" Target="mailto:mrinalini.nayak@hp.com" TargetMode="External"/><Relationship Id="rId120" Type="http://schemas.openxmlformats.org/officeDocument/2006/relationships/hyperlink" Target="mailto:aditya@randstad.in" TargetMode="External"/><Relationship Id="rId121" Type="http://schemas.openxmlformats.org/officeDocument/2006/relationships/hyperlink" Target="mailto:kartik.m@randstad.in" TargetMode="External"/><Relationship Id="rId122" Type="http://schemas.openxmlformats.org/officeDocument/2006/relationships/hyperlink" Target="mailto:pranav.sabherwal@wipro.com" TargetMode="External"/><Relationship Id="rId123" Type="http://schemas.openxmlformats.org/officeDocument/2006/relationships/hyperlink" Target="mailto:shravan@vmware.com" TargetMode="External"/><Relationship Id="rId124" Type="http://schemas.openxmlformats.org/officeDocument/2006/relationships/hyperlink" Target="mailto:vikas.kumar@syniverse.com" TargetMode="External"/><Relationship Id="rId125" Type="http://schemas.openxmlformats.org/officeDocument/2006/relationships/hyperlink" Target="mailto:sudheer.g@samsung.com" TargetMode="External"/><Relationship Id="rId126" Type="http://schemas.openxmlformats.org/officeDocument/2006/relationships/hyperlink" Target="mailto:vijay.al@samsung.com" TargetMode="External"/><Relationship Id="rId127" Type="http://schemas.openxmlformats.org/officeDocument/2006/relationships/hyperlink" Target="mailto:hitler.carvalho@alcatel-lucent.com" TargetMode="External"/><Relationship Id="rId128" Type="http://schemas.openxmlformats.org/officeDocument/2006/relationships/hyperlink" Target="mailto:anitha.asrani@cognizant.com" TargetMode="External"/><Relationship Id="rId129" Type="http://schemas.openxmlformats.org/officeDocument/2006/relationships/hyperlink" Target="mailto:vijay.hm@cognizant.com" TargetMode="External"/><Relationship Id="rId160" Type="http://schemas.openxmlformats.org/officeDocument/2006/relationships/hyperlink" Target="mailto:nick.williams@in.tesco.com" TargetMode="External"/><Relationship Id="rId161" Type="http://schemas.openxmlformats.org/officeDocument/2006/relationships/hyperlink" Target="mailto:abraham.cherian@in.tesco.com" TargetMode="External"/><Relationship Id="rId162" Type="http://schemas.openxmlformats.org/officeDocument/2006/relationships/hyperlink" Target="mailto:sundaralingam.pashupathy@syngeneintl.com" TargetMode="External"/><Relationship Id="rId20" Type="http://schemas.openxmlformats.org/officeDocument/2006/relationships/hyperlink" Target="mailto:dvadlama@allegisgroup.com" TargetMode="External"/><Relationship Id="rId21" Type="http://schemas.openxmlformats.org/officeDocument/2006/relationships/hyperlink" Target="mailto:shwsingh@adobe.com" TargetMode="External"/><Relationship Id="rId22" Type="http://schemas.openxmlformats.org/officeDocument/2006/relationships/hyperlink" Target="mailto:pshrivas@adobe.com" TargetMode="External"/><Relationship Id="rId23" Type="http://schemas.openxmlformats.org/officeDocument/2006/relationships/hyperlink" Target="mailto:Sowmya.KothandaRaamon@altisource.com" TargetMode="External"/><Relationship Id="rId24" Type="http://schemas.openxmlformats.org/officeDocument/2006/relationships/hyperlink" Target="mailto:spalanga@adobe.com" TargetMode="External"/><Relationship Id="rId25" Type="http://schemas.openxmlformats.org/officeDocument/2006/relationships/hyperlink" Target="mailto:tbiddand@allegisgroup.com" TargetMode="External"/><Relationship Id="rId26" Type="http://schemas.openxmlformats.org/officeDocument/2006/relationships/hyperlink" Target="mailto:vverma51@csc.com" TargetMode="External"/><Relationship Id="rId27" Type="http://schemas.openxmlformats.org/officeDocument/2006/relationships/hyperlink" Target="mailto:pravkris@adobe.com" TargetMode="External"/><Relationship Id="rId28" Type="http://schemas.openxmlformats.org/officeDocument/2006/relationships/hyperlink" Target="mailto:pgupta99@csc.com" TargetMode="External"/><Relationship Id="rId29" Type="http://schemas.openxmlformats.org/officeDocument/2006/relationships/hyperlink" Target="mailto:hpillai@teksystems.com" TargetMode="External"/><Relationship Id="rId163" Type="http://schemas.openxmlformats.org/officeDocument/2006/relationships/hyperlink" Target="mailto:pramod.devaiah@in.tesco.com" TargetMode="External"/><Relationship Id="rId164" Type="http://schemas.openxmlformats.org/officeDocument/2006/relationships/hyperlink" Target="mailto:susan15@yahoo-inc.com" TargetMode="External"/><Relationship Id="rId165" Type="http://schemas.openxmlformats.org/officeDocument/2006/relationships/hyperlink" Target="mailto:radhap@yahoo-in.com" TargetMode="External"/><Relationship Id="rId166" Type="http://schemas.openxmlformats.org/officeDocument/2006/relationships/hyperlink" Target="mailto:aniban@yahoo-in.com" TargetMode="External"/><Relationship Id="rId167" Type="http://schemas.openxmlformats.org/officeDocument/2006/relationships/hyperlink" Target="mailto:arvind.sharma@" TargetMode="External"/><Relationship Id="rId168" Type="http://schemas.openxmlformats.org/officeDocument/2006/relationships/printerSettings" Target="../printerSettings/printerSettings3.bin"/><Relationship Id="rId169" Type="http://schemas.openxmlformats.org/officeDocument/2006/relationships/drawing" Target="../drawings/drawing1.xml"/><Relationship Id="rId60" Type="http://schemas.openxmlformats.org/officeDocument/2006/relationships/hyperlink" Target="mailto:akashbothera@fico.com" TargetMode="External"/><Relationship Id="rId61" Type="http://schemas.openxmlformats.org/officeDocument/2006/relationships/hyperlink" Target="mailto:vidyadhar.reddy@redbus.in" TargetMode="External"/><Relationship Id="rId62" Type="http://schemas.openxmlformats.org/officeDocument/2006/relationships/hyperlink" Target="mailto:sai.prasad@redbus.in" TargetMode="External"/><Relationship Id="rId63" Type="http://schemas.openxmlformats.org/officeDocument/2006/relationships/hyperlink" Target="mailto:vandana.sharma@myntra.com" TargetMode="External"/><Relationship Id="rId64" Type="http://schemas.openxmlformats.org/officeDocument/2006/relationships/hyperlink" Target="mailto:saloni.bhargava@myntra.com" TargetMode="External"/><Relationship Id="rId65" Type="http://schemas.openxmlformats.org/officeDocument/2006/relationships/hyperlink" Target="mailto:rashmi.narayan@zebra.com" TargetMode="External"/><Relationship Id="rId66" Type="http://schemas.openxmlformats.org/officeDocument/2006/relationships/hyperlink" Target="mailto:kvg386@zebra.com" TargetMode="External"/><Relationship Id="rId67" Type="http://schemas.openxmlformats.org/officeDocument/2006/relationships/hyperlink" Target="mailto:shishir.kumar@airbus.com" TargetMode="External"/><Relationship Id="rId68" Type="http://schemas.openxmlformats.org/officeDocument/2006/relationships/hyperlink" Target="mailto:sbomq@allstate.com" TargetMode="External"/><Relationship Id="rId69" Type="http://schemas.openxmlformats.org/officeDocument/2006/relationships/hyperlink" Target="mailto:ruchika.sethi@xe02.ey.com" TargetMode="External"/><Relationship Id="rId130" Type="http://schemas.openxmlformats.org/officeDocument/2006/relationships/hyperlink" Target="mailto:joseph.john@wipro.com" TargetMode="External"/><Relationship Id="rId131" Type="http://schemas.openxmlformats.org/officeDocument/2006/relationships/hyperlink" Target="mailto:gulpreet.anand@wipro.com" TargetMode="External"/><Relationship Id="rId132" Type="http://schemas.openxmlformats.org/officeDocument/2006/relationships/hyperlink" Target="mailto:ritu.bhargava@wipro.com" TargetMode="External"/><Relationship Id="rId133" Type="http://schemas.openxmlformats.org/officeDocument/2006/relationships/hyperlink" Target="mailto:pranav.sabherwal@wipro.com" TargetMode="External"/><Relationship Id="rId134" Type="http://schemas.openxmlformats.org/officeDocument/2006/relationships/hyperlink" Target="mailto:arpita.patel1@wipro.com" TargetMode="External"/><Relationship Id="rId135" Type="http://schemas.openxmlformats.org/officeDocument/2006/relationships/hyperlink" Target="mailto:pramdoss@in.imshealth.com" TargetMode="External"/><Relationship Id="rId136" Type="http://schemas.openxmlformats.org/officeDocument/2006/relationships/hyperlink" Target="mailto:srivathsan.s@randstad.in" TargetMode="External"/><Relationship Id="rId137" Type="http://schemas.openxmlformats.org/officeDocument/2006/relationships/hyperlink" Target="mailto:spadmanabhan@novell.com&#160;" TargetMode="External"/><Relationship Id="rId138" Type="http://schemas.openxmlformats.org/officeDocument/2006/relationships/hyperlink" Target="mailto:sreyoshi.banerjee@accenture.com" TargetMode="External"/><Relationship Id="rId139" Type="http://schemas.openxmlformats.org/officeDocument/2006/relationships/hyperlink" Target="mailto:sanjeev.m.s@accenture.com" TargetMode="External"/><Relationship Id="rId170" Type="http://schemas.openxmlformats.org/officeDocument/2006/relationships/vmlDrawing" Target="../drawings/vmlDrawing2.vml"/><Relationship Id="rId171" Type="http://schemas.openxmlformats.org/officeDocument/2006/relationships/comments" Target="../comments2.xml"/><Relationship Id="rId30" Type="http://schemas.openxmlformats.org/officeDocument/2006/relationships/hyperlink" Target="mailto:pbrutsch@teksystems.com" TargetMode="External"/><Relationship Id="rId31" Type="http://schemas.openxmlformats.org/officeDocument/2006/relationships/hyperlink" Target="mailto:sharmila.santosh@altisource.com" TargetMode="External"/><Relationship Id="rId32" Type="http://schemas.openxmlformats.org/officeDocument/2006/relationships/hyperlink" Target="mailto:prrao@adobe.com" TargetMode="External"/><Relationship Id="rId33" Type="http://schemas.openxmlformats.org/officeDocument/2006/relationships/hyperlink" Target="mailto:shivani.katyal@xerox.com" TargetMode="External"/><Relationship Id="rId34" Type="http://schemas.openxmlformats.org/officeDocument/2006/relationships/hyperlink" Target="mailto:suresh.ramachandra@capgemini.com" TargetMode="External"/><Relationship Id="rId35" Type="http://schemas.openxmlformats.org/officeDocument/2006/relationships/hyperlink" Target="mailto:jonas.prasanna@capgemini.com" TargetMode="External"/><Relationship Id="rId36" Type="http://schemas.openxmlformats.org/officeDocument/2006/relationships/hyperlink" Target="mailto:ragrawal@informatica.com" TargetMode="External"/><Relationship Id="rId37" Type="http://schemas.openxmlformats.org/officeDocument/2006/relationships/hyperlink" Target="mailto:amitesh_pandey01@infosys.com" TargetMode="External"/><Relationship Id="rId38" Type="http://schemas.openxmlformats.org/officeDocument/2006/relationships/hyperlink" Target="mailto:raghav_k@infosys.com" TargetMode="External"/><Relationship Id="rId39" Type="http://schemas.openxmlformats.org/officeDocument/2006/relationships/hyperlink" Target="mailto:Rashid_kareem@infosys.com" TargetMode="External"/><Relationship Id="rId70" Type="http://schemas.openxmlformats.org/officeDocument/2006/relationships/hyperlink" Target="mailto:Marjeri.Mathew@xe02.ey.com" TargetMode="External"/><Relationship Id="rId71" Type="http://schemas.openxmlformats.org/officeDocument/2006/relationships/hyperlink" Target="mailto:sudeshna.chakravarti@xe02.ey.com" TargetMode="External"/><Relationship Id="rId72" Type="http://schemas.openxmlformats.org/officeDocument/2006/relationships/hyperlink" Target="mailto:Rajni.Singh@xe02.ey.com" TargetMode="External"/><Relationship Id="rId73" Type="http://schemas.openxmlformats.org/officeDocument/2006/relationships/hyperlink" Target="mailto:Paul.Rajan@xe02.ey.com" TargetMode="External"/><Relationship Id="rId74" Type="http://schemas.openxmlformats.org/officeDocument/2006/relationships/hyperlink" Target="mailto:Naveen.Subbarathniah@xe02.ey.com" TargetMode="External"/><Relationship Id="rId75" Type="http://schemas.openxmlformats.org/officeDocument/2006/relationships/hyperlink" Target="mailto:mahesh.ramalingam@thomsonreuters.com" TargetMode="External"/><Relationship Id="rId76" Type="http://schemas.openxmlformats.org/officeDocument/2006/relationships/hyperlink" Target="mailto:shreeram.varahan@thomsonreuters.com" TargetMode="External"/><Relationship Id="rId77" Type="http://schemas.openxmlformats.org/officeDocument/2006/relationships/hyperlink" Target="mailto:rex.michael@thomsonreuters.com" TargetMode="External"/><Relationship Id="rId78" Type="http://schemas.openxmlformats.org/officeDocument/2006/relationships/hyperlink" Target="mailto:sreyoshi.banerjee@accenture.com" TargetMode="External"/><Relationship Id="rId79" Type="http://schemas.openxmlformats.org/officeDocument/2006/relationships/hyperlink" Target="mailto:sukhpreet.kalra@accenture.com" TargetMode="External"/><Relationship Id="rId1" Type="http://schemas.openxmlformats.org/officeDocument/2006/relationships/hyperlink" Target="mailto:john.william@gm.com" TargetMode="External"/><Relationship Id="rId2" Type="http://schemas.openxmlformats.org/officeDocument/2006/relationships/hyperlink" Target="mailto:arpana.mehra@xerox.com" TargetMode="External"/><Relationship Id="rId3" Type="http://schemas.openxmlformats.org/officeDocument/2006/relationships/hyperlink" Target="mailto:mohan.kumar@xerox.com" TargetMode="External"/><Relationship Id="rId4" Type="http://schemas.openxmlformats.org/officeDocument/2006/relationships/hyperlink" Target="mailto:jayshree.gambir@xerox.com" TargetMode="External"/><Relationship Id="rId100" Type="http://schemas.openxmlformats.org/officeDocument/2006/relationships/hyperlink" Target="mailto:koushik.raghavendra@in.ibm.com" TargetMode="External"/><Relationship Id="rId101" Type="http://schemas.openxmlformats.org/officeDocument/2006/relationships/hyperlink" Target="mailto:ansuman.patnaik@infinite.com" TargetMode="External"/><Relationship Id="rId102" Type="http://schemas.openxmlformats.org/officeDocument/2006/relationships/hyperlink" Target="mailto:debashish.c@in.ibm.com" TargetMode="External"/><Relationship Id="rId103" Type="http://schemas.openxmlformats.org/officeDocument/2006/relationships/hyperlink" Target="mailto:jayaram.ea@in.ibm.com" TargetMode="External"/><Relationship Id="rId104" Type="http://schemas.openxmlformats.org/officeDocument/2006/relationships/hyperlink" Target="mailto:debashish.c@in.ibm.com" TargetMode="External"/><Relationship Id="rId105" Type="http://schemas.openxmlformats.org/officeDocument/2006/relationships/hyperlink" Target="mailto:abhi.nair@in.ibm.com" TargetMode="External"/><Relationship Id="rId106" Type="http://schemas.openxmlformats.org/officeDocument/2006/relationships/hyperlink" Target="mailto:reenaroy@in.ibm.com" TargetMode="External"/><Relationship Id="rId107" Type="http://schemas.openxmlformats.org/officeDocument/2006/relationships/hyperlink" Target="mailto:donald.mitchell@in.ibm.com" TargetMode="External"/><Relationship Id="rId108" Type="http://schemas.openxmlformats.org/officeDocument/2006/relationships/hyperlink" Target="mailto:saksgaur@in.ibm.com" TargetMode="External"/><Relationship Id="rId109" Type="http://schemas.openxmlformats.org/officeDocument/2006/relationships/hyperlink" Target="mailto:Christopher_Anand@mindtree.com" TargetMode="External"/><Relationship Id="rId5" Type="http://schemas.openxmlformats.org/officeDocument/2006/relationships/hyperlink" Target="mailto:knagar@adobe.com" TargetMode="External"/><Relationship Id="rId6" Type="http://schemas.openxmlformats.org/officeDocument/2006/relationships/hyperlink" Target="mailto:sanjay.k-raj@capgemini.com" TargetMode="External"/><Relationship Id="rId7" Type="http://schemas.openxmlformats.org/officeDocument/2006/relationships/hyperlink" Target="mailto:vinod.kutty@allianzcornhill.co.in" TargetMode="External"/><Relationship Id="rId8" Type="http://schemas.openxmlformats.org/officeDocument/2006/relationships/hyperlink" Target="mailto:shibith.ps@capgemini.com" TargetMode="External"/><Relationship Id="rId9" Type="http://schemas.openxmlformats.org/officeDocument/2006/relationships/hyperlink" Target="mailto:rakesh.sj@capgemini.com" TargetMode="External"/><Relationship Id="rId140" Type="http://schemas.openxmlformats.org/officeDocument/2006/relationships/hyperlink" Target="mailto:pathy@motorola.com" TargetMode="External"/><Relationship Id="rId141" Type="http://schemas.openxmlformats.org/officeDocument/2006/relationships/hyperlink" Target="mailto:siby.thomas@capgemini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varsha.singh@arm.com" TargetMode="External"/><Relationship Id="rId2" Type="http://schemas.openxmlformats.org/officeDocument/2006/relationships/hyperlink" Target="mailto:bhayanic@amazon.com" TargetMode="External"/><Relationship Id="rId3" Type="http://schemas.openxmlformats.org/officeDocument/2006/relationships/hyperlink" Target="mailto:gayatri.kunjithaya@citrix.com" TargetMode="External"/><Relationship Id="rId4" Type="http://schemas.openxmlformats.org/officeDocument/2006/relationships/hyperlink" Target="mailto:warner.jude@cognizant.com" TargetMode="External"/><Relationship Id="rId5" Type="http://schemas.openxmlformats.org/officeDocument/2006/relationships/hyperlink" Target="mailto:sreejay.puthiyapurayil@emc.com" TargetMode="External"/><Relationship Id="rId6" Type="http://schemas.openxmlformats.org/officeDocument/2006/relationships/hyperlink" Target="mailto:mrinalini.nayak@hp.com" TargetMode="External"/><Relationship Id="rId7" Type="http://schemas.openxmlformats.org/officeDocument/2006/relationships/hyperlink" Target="mailto:mona.hakeem@ge.com" TargetMode="External"/><Relationship Id="rId8" Type="http://schemas.openxmlformats.org/officeDocument/2006/relationships/hyperlink" Target="mailto:spadmanabhan@novell.com" TargetMode="External"/><Relationship Id="rId9" Type="http://schemas.openxmlformats.org/officeDocument/2006/relationships/hyperlink" Target="mailto:kprasadn@mmm.com" TargetMode="External"/><Relationship Id="rId10" Type="http://schemas.openxmlformats.org/officeDocument/2006/relationships/hyperlink" Target="mailto:arjun@edgenetworks.in" TargetMode="External"/><Relationship Id="rId11" Type="http://schemas.openxmlformats.org/officeDocument/2006/relationships/hyperlink" Target="mailto:arvind.rao@edgenetworks.in" TargetMode="External"/><Relationship Id="rId12" Type="http://schemas.openxmlformats.org/officeDocument/2006/relationships/hyperlink" Target="mailto:vijay.linus@netapp.com" TargetMode="External"/><Relationship Id="rId13" Type="http://schemas.openxmlformats.org/officeDocument/2006/relationships/hyperlink" Target="mailto:Sharmista.Deb@ca.com" TargetMode="External"/><Relationship Id="rId14" Type="http://schemas.openxmlformats.org/officeDocument/2006/relationships/hyperlink" Target="mailto:atul_sahgal@infosys.com" TargetMode="External"/><Relationship Id="rId15" Type="http://schemas.openxmlformats.org/officeDocument/2006/relationships/hyperlink" Target="mailto:Krishna_Kollicat@infosys.com" TargetMode="External"/><Relationship Id="rId16" Type="http://schemas.openxmlformats.org/officeDocument/2006/relationships/hyperlink" Target="mailto:pradeep.varghese@biocon.com" TargetMode="External"/><Relationship Id="rId17" Type="http://schemas.openxmlformats.org/officeDocument/2006/relationships/hyperlink" Target="mailto:vandana_bellur@Dell.com" TargetMode="External"/><Relationship Id="rId18" Type="http://schemas.openxmlformats.org/officeDocument/2006/relationships/hyperlink" Target="mailto:pmanaval@cisco.com" TargetMode="External"/><Relationship Id="rId19" Type="http://schemas.openxmlformats.org/officeDocument/2006/relationships/hyperlink" Target="mailto:ggeorge@broadcom.com" TargetMode="External"/><Relationship Id="rId30" Type="http://schemas.openxmlformats.org/officeDocument/2006/relationships/hyperlink" Target="mailto:sunil.joice@harman.com" TargetMode="External"/><Relationship Id="rId31" Type="http://schemas.openxmlformats.org/officeDocument/2006/relationships/hyperlink" Target="mailto:naveen.kumar@sandisk.com" TargetMode="External"/><Relationship Id="rId32" Type="http://schemas.openxmlformats.org/officeDocument/2006/relationships/hyperlink" Target="mailto:anil.warrier@sap.com" TargetMode="External"/><Relationship Id="rId33" Type="http://schemas.openxmlformats.org/officeDocument/2006/relationships/hyperlink" Target="mailto:monarch.limaye@softwareag.com" TargetMode="External"/><Relationship Id="rId34" Type="http://schemas.openxmlformats.org/officeDocument/2006/relationships/hyperlink" Target="mailto:bhumika.srivastava@in.tesco.com" TargetMode="External"/><Relationship Id="rId35" Type="http://schemas.openxmlformats.org/officeDocument/2006/relationships/hyperlink" Target="mailto:rex.michael@thomsonreuters.com" TargetMode="External"/><Relationship Id="rId36" Type="http://schemas.openxmlformats.org/officeDocument/2006/relationships/hyperlink" Target="mailto:preejith.shashi@tangoe.com" TargetMode="External"/><Relationship Id="rId37" Type="http://schemas.openxmlformats.org/officeDocument/2006/relationships/hyperlink" Target="mailto:sarvesh.vaidya@tangoe.com" TargetMode="External"/><Relationship Id="rId38" Type="http://schemas.openxmlformats.org/officeDocument/2006/relationships/hyperlink" Target="mailto:janhavi.joshi@amadeus.com" TargetMode="External"/><Relationship Id="rId39" Type="http://schemas.openxmlformats.org/officeDocument/2006/relationships/hyperlink" Target="mailto:daneshia.sethi@amadeus.com" TargetMode="External"/><Relationship Id="rId50" Type="http://schemas.openxmlformats.org/officeDocument/2006/relationships/hyperlink" Target="mailto:Harsha_Kumar@mindtree.com" TargetMode="External"/><Relationship Id="rId51" Type="http://schemas.openxmlformats.org/officeDocument/2006/relationships/hyperlink" Target="mailto:Namitha.Manjunath@mphasis.com" TargetMode="External"/><Relationship Id="rId52" Type="http://schemas.openxmlformats.org/officeDocument/2006/relationships/hyperlink" Target="mailto:sar6@ntrs.com" TargetMode="External"/><Relationship Id="rId53" Type="http://schemas.openxmlformats.org/officeDocument/2006/relationships/hyperlink" Target="https://www.linkedin.com/profile/view?id=21160840&amp;authType=name&amp;authToken=hPQf&amp;trk=prof-sb-browse_map-name" TargetMode="External"/><Relationship Id="rId54" Type="http://schemas.openxmlformats.org/officeDocument/2006/relationships/hyperlink" Target="mailto:kvg386@motorolasolutions.com" TargetMode="External"/><Relationship Id="rId55" Type="http://schemas.openxmlformats.org/officeDocument/2006/relationships/hyperlink" Target="mailto:suraj.pinto@target.com" TargetMode="External"/><Relationship Id="rId56" Type="http://schemas.openxmlformats.org/officeDocument/2006/relationships/hyperlink" Target="mailto:nitin.dc@samsung.com" TargetMode="External"/><Relationship Id="rId57" Type="http://schemas.openxmlformats.org/officeDocument/2006/relationships/hyperlink" Target="mailto:uday.narla@cyient.com" TargetMode="External"/><Relationship Id="rId58" Type="http://schemas.openxmlformats.org/officeDocument/2006/relationships/hyperlink" Target="mailto:nirmala.bhat@altran.com" TargetMode="External"/><Relationship Id="rId59" Type="http://schemas.openxmlformats.org/officeDocument/2006/relationships/hyperlink" Target="mailto:sriramg@juniper.net" TargetMode="External"/><Relationship Id="rId70" Type="http://schemas.openxmlformats.org/officeDocument/2006/relationships/hyperlink" Target="mailto:Logesh@nutanix.com" TargetMode="External"/><Relationship Id="rId71" Type="http://schemas.openxmlformats.org/officeDocument/2006/relationships/hyperlink" Target="mailto:mahesh.medhekar@daimler.com" TargetMode="External"/><Relationship Id="rId72" Type="http://schemas.openxmlformats.org/officeDocument/2006/relationships/hyperlink" Target="mailto:nitin.singh@gmrgroup.in" TargetMode="External"/><Relationship Id="rId73" Type="http://schemas.openxmlformats.org/officeDocument/2006/relationships/hyperlink" Target="mailto:sridhar@nrgreenwoods.com" TargetMode="External"/><Relationship Id="rId74" Type="http://schemas.openxmlformats.org/officeDocument/2006/relationships/hyperlink" Target="mailto:sujith.suman@tecosim.com" TargetMode="External"/><Relationship Id="rId75" Type="http://schemas.openxmlformats.org/officeDocument/2006/relationships/hyperlink" Target="mailto:prem.nair@toshiba-tsip.com" TargetMode="External"/><Relationship Id="rId76" Type="http://schemas.openxmlformats.org/officeDocument/2006/relationships/hyperlink" Target="mailto:prem.nair@toshiba-tsip.com" TargetMode="External"/><Relationship Id="rId77" Type="http://schemas.openxmlformats.org/officeDocument/2006/relationships/hyperlink" Target="mailto:ramachandra.kodi@valtech.co.in" TargetMode="External"/><Relationship Id="rId78" Type="http://schemas.openxmlformats.org/officeDocument/2006/relationships/hyperlink" Target="mailto:raghunath.bv@ikyaglobal.com" TargetMode="External"/><Relationship Id="rId79" Type="http://schemas.openxmlformats.org/officeDocument/2006/relationships/hyperlink" Target="mailto:satish.manne@congnizant.com,%20june%20contact" TargetMode="External"/><Relationship Id="rId20" Type="http://schemas.openxmlformats.org/officeDocument/2006/relationships/hyperlink" Target="mailto:sandeep.hoysal@teamlease.com" TargetMode="External"/><Relationship Id="rId21" Type="http://schemas.openxmlformats.org/officeDocument/2006/relationships/hyperlink" Target="mailto:ranjitjose@britindia.com" TargetMode="External"/><Relationship Id="rId22" Type="http://schemas.openxmlformats.org/officeDocument/2006/relationships/hyperlink" Target="mailto:pravkris@adobe.com" TargetMode="External"/><Relationship Id="rId23" Type="http://schemas.openxmlformats.org/officeDocument/2006/relationships/hyperlink" Target="mailto:dvadlama@allegisgroup.com" TargetMode="External"/><Relationship Id="rId24" Type="http://schemas.openxmlformats.org/officeDocument/2006/relationships/hyperlink" Target="mailto:hpillai@teksystems.com" TargetMode="External"/><Relationship Id="rId25" Type="http://schemas.openxmlformats.org/officeDocument/2006/relationships/hyperlink" Target="mailto:pbrutsch@teksystems.com" TargetMode="External"/><Relationship Id="rId26" Type="http://schemas.openxmlformats.org/officeDocument/2006/relationships/hyperlink" Target="mailto:raghavendra.bhat@altisource.com" TargetMode="External"/><Relationship Id="rId27" Type="http://schemas.openxmlformats.org/officeDocument/2006/relationships/hyperlink" Target="mailto:praveen-kumar.sk@capgemini.com" TargetMode="External"/><Relationship Id="rId28" Type="http://schemas.openxmlformats.org/officeDocument/2006/relationships/hyperlink" Target="mailto:bhavesh.a.patel@capgemini.com" TargetMode="External"/><Relationship Id="rId29" Type="http://schemas.openxmlformats.org/officeDocument/2006/relationships/hyperlink" Target="mailto:vverma51@csc.com" TargetMode="External"/><Relationship Id="rId40" Type="http://schemas.openxmlformats.org/officeDocument/2006/relationships/hyperlink" Target="mailto:paromita.bannarjee@spire2grow.com" TargetMode="External"/><Relationship Id="rId41" Type="http://schemas.openxmlformats.org/officeDocument/2006/relationships/hyperlink" Target="mailto:rtalreja@visa.com" TargetMode="External"/><Relationship Id="rId42" Type="http://schemas.openxmlformats.org/officeDocument/2006/relationships/hyperlink" Target="mailto:shreedevi.roogi@sabre.com" TargetMode="External"/><Relationship Id="rId43" Type="http://schemas.openxmlformats.org/officeDocument/2006/relationships/hyperlink" Target="mailto:pramdoss@in.imshealth.com" TargetMode="External"/><Relationship Id="rId44" Type="http://schemas.openxmlformats.org/officeDocument/2006/relationships/hyperlink" Target="mailto:rashmi.naryan@motorolasolutions.com" TargetMode="External"/><Relationship Id="rId45" Type="http://schemas.openxmlformats.org/officeDocument/2006/relationships/hyperlink" Target="mailto:shastri.pallavi@in.bosch.com" TargetMode="External"/><Relationship Id="rId46" Type="http://schemas.openxmlformats.org/officeDocument/2006/relationships/hyperlink" Target="mailto:Sachin.mehra@altimetrik.com" TargetMode="External"/><Relationship Id="rId47" Type="http://schemas.openxmlformats.org/officeDocument/2006/relationships/hyperlink" Target="mailto:pritir@amazon.com" TargetMode="External"/><Relationship Id="rId48" Type="http://schemas.openxmlformats.org/officeDocument/2006/relationships/hyperlink" Target="mailto:ssulegai@amazon.com" TargetMode="External"/><Relationship Id="rId49" Type="http://schemas.openxmlformats.org/officeDocument/2006/relationships/hyperlink" Target="mailto:Osborne_Pereira@mindtree.com" TargetMode="External"/><Relationship Id="rId60" Type="http://schemas.openxmlformats.org/officeDocument/2006/relationships/hyperlink" Target="mailto:naqeeb_syed@amat.com" TargetMode="External"/><Relationship Id="rId61" Type="http://schemas.openxmlformats.org/officeDocument/2006/relationships/hyperlink" Target="mailto:hitler.carvalho@alcatel-lucent.com" TargetMode="External"/><Relationship Id="rId62" Type="http://schemas.openxmlformats.org/officeDocument/2006/relationships/hyperlink" Target="mailto:dennis.vincent@pace.com" TargetMode="External"/><Relationship Id="rId63" Type="http://schemas.openxmlformats.org/officeDocument/2006/relationships/hyperlink" Target="mailto:swapna@in.bally.com" TargetMode="External"/><Relationship Id="rId64" Type="http://schemas.openxmlformats.org/officeDocument/2006/relationships/hyperlink" Target="mailto:balaji.kamaraj@happiestminds.com" TargetMode="External"/><Relationship Id="rId65" Type="http://schemas.openxmlformats.org/officeDocument/2006/relationships/hyperlink" Target="mailto:kvg386@motorolasolutions.com" TargetMode="External"/><Relationship Id="rId66" Type="http://schemas.openxmlformats.org/officeDocument/2006/relationships/hyperlink" Target="mailto:nihar.gundumalla@metricstream.com" TargetMode="External"/><Relationship Id="rId67" Type="http://schemas.openxmlformats.org/officeDocument/2006/relationships/hyperlink" Target="mailto:jnanesh.kumar@salesforce.com" TargetMode="External"/><Relationship Id="rId68" Type="http://schemas.openxmlformats.org/officeDocument/2006/relationships/hyperlink" Target="mailto:Logesh@nutanix.com" TargetMode="External"/><Relationship Id="rId69" Type="http://schemas.openxmlformats.org/officeDocument/2006/relationships/hyperlink" Target="mailto:iftekhar.baig@mediatek.com" TargetMode="External"/><Relationship Id="rId80" Type="http://schemas.openxmlformats.org/officeDocument/2006/relationships/hyperlink" Target="mailto:ravindranath.barrey@cyient" TargetMode="External"/><Relationship Id="rId81" Type="http://schemas.openxmlformats.org/officeDocument/2006/relationships/hyperlink" Target="mailto:sudharsan.n@edgenetworks.in" TargetMode="External"/><Relationship Id="rId82" Type="http://schemas.openxmlformats.org/officeDocument/2006/relationships/hyperlink" Target="mailto:ranjana@96@yahoo.com" TargetMode="External"/><Relationship Id="rId83" Type="http://schemas.openxmlformats.org/officeDocument/2006/relationships/hyperlink" Target="mailto:nitish.shrivastava@magnitude" TargetMode="External"/><Relationship Id="rId84" Type="http://schemas.openxmlformats.org/officeDocument/2006/relationships/hyperlink" Target="mailto:lisa_tan@zmat.com" TargetMode="External"/><Relationship Id="rId85" Type="http://schemas.openxmlformats.org/officeDocument/2006/relationships/hyperlink" Target="mailto:sagar.raina@makemytrip.in" TargetMode="External"/><Relationship Id="rId86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mailto:vikas.kumar@syniverse.com" TargetMode="External"/><Relationship Id="rId20" Type="http://schemas.openxmlformats.org/officeDocument/2006/relationships/hyperlink" Target="mailto:vijay.al@samsung.com" TargetMode="External"/><Relationship Id="rId21" Type="http://schemas.openxmlformats.org/officeDocument/2006/relationships/hyperlink" Target="mailto:nitin.dc@samsung.com" TargetMode="External"/><Relationship Id="rId22" Type="http://schemas.openxmlformats.org/officeDocument/2006/relationships/hyperlink" Target="mailto:marita.dsantos@myntra.com" TargetMode="External"/><Relationship Id="rId23" Type="http://schemas.openxmlformats.org/officeDocument/2006/relationships/hyperlink" Target="mailto:L@D%20head" TargetMode="External"/><Relationship Id="rId24" Type="http://schemas.openxmlformats.org/officeDocument/2006/relationships/vmlDrawing" Target="../drawings/vmlDrawing3.vml"/><Relationship Id="rId25" Type="http://schemas.openxmlformats.org/officeDocument/2006/relationships/comments" Target="../comments3.xml"/><Relationship Id="rId10" Type="http://schemas.openxmlformats.org/officeDocument/2006/relationships/hyperlink" Target="mailto:akashbothera@fico.com" TargetMode="External"/><Relationship Id="rId11" Type="http://schemas.openxmlformats.org/officeDocument/2006/relationships/hyperlink" Target="mailto:pramdoss@in.imshealth.com" TargetMode="External"/><Relationship Id="rId12" Type="http://schemas.openxmlformats.org/officeDocument/2006/relationships/hyperlink" Target="mailto:priyanka@metricstream.com" TargetMode="External"/><Relationship Id="rId13" Type="http://schemas.openxmlformats.org/officeDocument/2006/relationships/hyperlink" Target="mailto:nihar.gundumalla@metricstream.com" TargetMode="External"/><Relationship Id="rId14" Type="http://schemas.openxmlformats.org/officeDocument/2006/relationships/hyperlink" Target="mailto:pathy@motorola.com" TargetMode="External"/><Relationship Id="rId15" Type="http://schemas.openxmlformats.org/officeDocument/2006/relationships/hyperlink" Target="mailto:vandana.sharma@myntra.com" TargetMode="External"/><Relationship Id="rId16" Type="http://schemas.openxmlformats.org/officeDocument/2006/relationships/hyperlink" Target="mailto:saloni.bhargava@myntra.com" TargetMode="External"/><Relationship Id="rId17" Type="http://schemas.openxmlformats.org/officeDocument/2006/relationships/hyperlink" Target="mailto:vidyadhar.reddy@redbus.in" TargetMode="External"/><Relationship Id="rId18" Type="http://schemas.openxmlformats.org/officeDocument/2006/relationships/hyperlink" Target="mailto:sai.prasad@redbus.in" TargetMode="External"/><Relationship Id="rId19" Type="http://schemas.openxmlformats.org/officeDocument/2006/relationships/hyperlink" Target="mailto:sudheer.g@samsung.com" TargetMode="External"/><Relationship Id="rId1" Type="http://schemas.openxmlformats.org/officeDocument/2006/relationships/hyperlink" Target="mailto:vinod.kutty@allianzcornhill.co.in" TargetMode="External"/><Relationship Id="rId2" Type="http://schemas.openxmlformats.org/officeDocument/2006/relationships/hyperlink" Target="mailto:dipanwita.chakraborty@allianzcornhill.co.in" TargetMode="External"/><Relationship Id="rId3" Type="http://schemas.openxmlformats.org/officeDocument/2006/relationships/hyperlink" Target="mailto:sbomq@allstate.com" TargetMode="External"/><Relationship Id="rId4" Type="http://schemas.openxmlformats.org/officeDocument/2006/relationships/hyperlink" Target="mailto:shsundar@akamai.com" TargetMode="External"/><Relationship Id="rId5" Type="http://schemas.openxmlformats.org/officeDocument/2006/relationships/hyperlink" Target="mailto:Sharmistha.Deb@ca.com" TargetMode="External"/><Relationship Id="rId6" Type="http://schemas.openxmlformats.org/officeDocument/2006/relationships/hyperlink" Target="mailto:Archana.Sali@ca.com" TargetMode="External"/><Relationship Id="rId7" Type="http://schemas.openxmlformats.org/officeDocument/2006/relationships/hyperlink" Target="mailto:Sunil.Sankar@ca.com" TargetMode="External"/><Relationship Id="rId8" Type="http://schemas.openxmlformats.org/officeDocument/2006/relationships/hyperlink" Target="mailto:Archana.Sali@ca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uruchi@urbanladder.com" TargetMode="External"/><Relationship Id="rId4" Type="http://schemas.openxmlformats.org/officeDocument/2006/relationships/hyperlink" Target="mailto:kuldeep@flipkart.com" TargetMode="External"/><Relationship Id="rId5" Type="http://schemas.openxmlformats.org/officeDocument/2006/relationships/hyperlink" Target="mailto:prasad.menon@flipkart.com" TargetMode="External"/><Relationship Id="rId6" Type="http://schemas.openxmlformats.org/officeDocument/2006/relationships/hyperlink" Target="mailto:Vinod.m@flipkart.com" TargetMode="External"/><Relationship Id="rId7" Type="http://schemas.openxmlformats.org/officeDocument/2006/relationships/hyperlink" Target="mailto:cprabhu@interrasystems.com" TargetMode="External"/><Relationship Id="rId8" Type="http://schemas.openxmlformats.org/officeDocument/2006/relationships/vmlDrawing" Target="../drawings/vmlDrawing4.vml"/><Relationship Id="rId9" Type="http://schemas.openxmlformats.org/officeDocument/2006/relationships/comments" Target="../comments4.xml"/><Relationship Id="rId1" Type="http://schemas.openxmlformats.org/officeDocument/2006/relationships/hyperlink" Target="mailto:ranjitjose@britindia.com" TargetMode="External"/><Relationship Id="rId2" Type="http://schemas.openxmlformats.org/officeDocument/2006/relationships/hyperlink" Target="mailto:skaur@britindia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phanideepak.akella@mphasis.com" TargetMode="External"/><Relationship Id="rId4" Type="http://schemas.openxmlformats.org/officeDocument/2006/relationships/hyperlink" Target="mailto:vijay.al@samsung.com" TargetMode="External"/><Relationship Id="rId5" Type="http://schemas.openxmlformats.org/officeDocument/2006/relationships/hyperlink" Target="mailto:priyanka@metricstream.com" TargetMode="External"/><Relationship Id="rId6" Type="http://schemas.openxmlformats.org/officeDocument/2006/relationships/hyperlink" Target="mailto:monarch.limaye@softwareag.com" TargetMode="External"/><Relationship Id="rId7" Type="http://schemas.openxmlformats.org/officeDocument/2006/relationships/hyperlink" Target="mailto:ranjitjose@britindia.com" TargetMode="External"/><Relationship Id="rId8" Type="http://schemas.openxmlformats.org/officeDocument/2006/relationships/hyperlink" Target="mailto:skaur@britindia.com" TargetMode="External"/><Relationship Id="rId9" Type="http://schemas.openxmlformats.org/officeDocument/2006/relationships/printerSettings" Target="../printerSettings/printerSettings5.bin"/><Relationship Id="rId1" Type="http://schemas.openxmlformats.org/officeDocument/2006/relationships/hyperlink" Target="mailto:raghavendra.bhat@altisource.com" TargetMode="External"/><Relationship Id="rId2" Type="http://schemas.openxmlformats.org/officeDocument/2006/relationships/hyperlink" Target="mailto:Namitha.Manjunath@mphasis.com" TargetMode="External"/></Relationships>
</file>

<file path=xl/worksheets/_rels/sheet8.xml.rels><?xml version="1.0" encoding="UTF-8" standalone="yes"?>
<Relationships xmlns="http://schemas.openxmlformats.org/package/2006/relationships"><Relationship Id="rId11" Type="http://schemas.openxmlformats.org/officeDocument/2006/relationships/hyperlink" Target="mailto:rex.michael@thomsonreuters.com" TargetMode="External"/><Relationship Id="rId12" Type="http://schemas.openxmlformats.org/officeDocument/2006/relationships/hyperlink" Target="mailto:24@7" TargetMode="External"/><Relationship Id="rId1" Type="http://schemas.openxmlformats.org/officeDocument/2006/relationships/hyperlink" Target="mailto:raghavendra.bhat@altisource.com" TargetMode="External"/><Relationship Id="rId2" Type="http://schemas.openxmlformats.org/officeDocument/2006/relationships/hyperlink" Target="mailto:Namitha.Manjunath@mphasis.com" TargetMode="External"/><Relationship Id="rId3" Type="http://schemas.openxmlformats.org/officeDocument/2006/relationships/hyperlink" Target="mailto:priyanka@metricstream.com" TargetMode="External"/><Relationship Id="rId4" Type="http://schemas.openxmlformats.org/officeDocument/2006/relationships/hyperlink" Target="mailto:monarch.limaye@softwareag.com" TargetMode="External"/><Relationship Id="rId5" Type="http://schemas.openxmlformats.org/officeDocument/2006/relationships/hyperlink" Target="mailto:RITESHR@BRITINDIA.COM" TargetMode="External"/><Relationship Id="rId6" Type="http://schemas.openxmlformats.org/officeDocument/2006/relationships/hyperlink" Target="mailto:Vinod.m@flipkart.com" TargetMode="External"/><Relationship Id="rId7" Type="http://schemas.openxmlformats.org/officeDocument/2006/relationships/hyperlink" Target="mailto:cprabhu@interrasystems.com" TargetMode="External"/><Relationship Id="rId8" Type="http://schemas.openxmlformats.org/officeDocument/2006/relationships/hyperlink" Target="mailto:bhooma.vyas@mecglobal.com" TargetMode="External"/><Relationship Id="rId9" Type="http://schemas.openxmlformats.org/officeDocument/2006/relationships/hyperlink" Target="mailto:anil.warrier@sap.com" TargetMode="External"/><Relationship Id="rId10" Type="http://schemas.openxmlformats.org/officeDocument/2006/relationships/hyperlink" Target="mailto:bhumika.srivastava@in.tesco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zoomScale="115" workbookViewId="0">
      <pane xSplit="1" topLeftCell="B1" activePane="topRight" state="frozen"/>
      <selection pane="topRight" activeCell="F1" sqref="F1:F164"/>
    </sheetView>
  </sheetViews>
  <sheetFormatPr baseColWidth="10" defaultColWidth="15.1640625" defaultRowHeight="15" customHeight="1" x14ac:dyDescent="0.2"/>
  <cols>
    <col min="1" max="1" width="15.5" customWidth="1"/>
    <col min="2" max="2" width="12" customWidth="1"/>
    <col min="3" max="3" width="12.1640625" customWidth="1"/>
    <col min="4" max="4" width="11.5" customWidth="1"/>
    <col min="5" max="5" width="27.33203125" customWidth="1"/>
    <col min="6" max="6" width="83.5" customWidth="1"/>
    <col min="7" max="26" width="7" customWidth="1"/>
  </cols>
  <sheetData>
    <row r="1" spans="1:6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</row>
    <row r="2" spans="1:6" x14ac:dyDescent="0.2">
      <c r="A2" s="5" t="s">
        <v>5</v>
      </c>
      <c r="B2" s="6" t="s">
        <v>6</v>
      </c>
      <c r="C2" s="6" t="s">
        <v>7</v>
      </c>
      <c r="D2" s="6">
        <v>9900177270</v>
      </c>
      <c r="E2" s="7" t="str">
        <f>HYPERLINK("mailto:shishir.kumar@airbus.com","shishir.kumar@airbus.com")</f>
        <v>shishir.kumar@airbus.com</v>
      </c>
      <c r="F2" s="8"/>
    </row>
    <row r="3" spans="1:6" x14ac:dyDescent="0.2">
      <c r="A3" s="5" t="s">
        <v>8</v>
      </c>
      <c r="B3" s="6" t="s">
        <v>9</v>
      </c>
      <c r="C3" s="6" t="s">
        <v>10</v>
      </c>
      <c r="D3" s="6">
        <v>9739702727</v>
      </c>
      <c r="E3" s="9" t="str">
        <f>HYPERLINK("mailto:shsundar@akamai.com","shsundar@akamai.com")</f>
        <v>shsundar@akamai.com</v>
      </c>
      <c r="F3" s="8"/>
    </row>
    <row r="4" spans="1:6" ht="26.25" customHeight="1" x14ac:dyDescent="0.2">
      <c r="A4" s="5" t="s">
        <v>11</v>
      </c>
      <c r="B4" s="8" t="s">
        <v>12</v>
      </c>
      <c r="C4" s="8" t="s">
        <v>13</v>
      </c>
      <c r="D4" s="8">
        <v>9980504887</v>
      </c>
      <c r="E4" s="9" t="str">
        <f>HYPERLINK("mailto:hitler.carvalho@alcatel-lucent.com","hitler.carvalho@alcatel-lucent.com")</f>
        <v>hitler.carvalho@alcatel-lucent.com</v>
      </c>
      <c r="F4" s="10"/>
    </row>
    <row r="5" spans="1:6" ht="51.75" customHeight="1" x14ac:dyDescent="0.2">
      <c r="A5" s="20" t="s">
        <v>14</v>
      </c>
      <c r="B5" s="21" t="s">
        <v>15</v>
      </c>
      <c r="C5" s="21" t="s">
        <v>16</v>
      </c>
      <c r="D5" s="21" t="s">
        <v>17</v>
      </c>
      <c r="E5" s="22" t="str">
        <f>HYPERLINK("mailto:raghavendra.bhat@altisource.com","raghavendra.bhat@altisource.com")</f>
        <v>raghavendra.bhat@altisource.com</v>
      </c>
      <c r="F5" s="21"/>
    </row>
    <row r="6" spans="1:6" ht="26.25" customHeight="1" x14ac:dyDescent="0.2">
      <c r="A6" s="52" t="s">
        <v>18</v>
      </c>
      <c r="B6" s="53" t="s">
        <v>19</v>
      </c>
      <c r="C6" s="53" t="s">
        <v>20</v>
      </c>
      <c r="D6" s="53">
        <v>9901291719</v>
      </c>
      <c r="E6" s="54" t="str">
        <f>HYPERLINK("mailto:dipti.nayak@altran.com","dipti.nayak@altran.com")</f>
        <v>dipti.nayak@altran.com</v>
      </c>
      <c r="F6" s="53"/>
    </row>
    <row r="7" spans="1:6" ht="26.25" customHeight="1" x14ac:dyDescent="0.2">
      <c r="A7" s="23" t="s">
        <v>21</v>
      </c>
      <c r="B7" s="24" t="s">
        <v>22</v>
      </c>
      <c r="C7" s="24" t="s">
        <v>23</v>
      </c>
      <c r="D7" s="24">
        <v>9717244855</v>
      </c>
      <c r="E7" s="25" t="str">
        <f>HYPERLINK("mailto:debobrata.hembram@aon.com","debobrata.hembram@aon.com")</f>
        <v>debobrata.hembram@aon.com</v>
      </c>
      <c r="F7" s="26"/>
    </row>
    <row r="8" spans="1:6" ht="39" customHeight="1" x14ac:dyDescent="0.2">
      <c r="A8" s="23" t="s">
        <v>24</v>
      </c>
      <c r="B8" s="24" t="s">
        <v>25</v>
      </c>
      <c r="C8" s="24" t="s">
        <v>10</v>
      </c>
      <c r="D8" s="24">
        <v>9632005724</v>
      </c>
      <c r="E8" s="27" t="str">
        <f>HYPERLINK("mailto:naqeeb_syed@amat.com","naqeeb_syed@amat.com")</f>
        <v>naqeeb_syed@amat.com</v>
      </c>
      <c r="F8" s="28"/>
    </row>
    <row r="9" spans="1:6" ht="26.25" customHeight="1" x14ac:dyDescent="0.2">
      <c r="A9" s="29" t="s">
        <v>26</v>
      </c>
      <c r="B9" s="30" t="s">
        <v>27</v>
      </c>
      <c r="C9" s="30" t="s">
        <v>28</v>
      </c>
      <c r="D9" s="30">
        <v>9945483368</v>
      </c>
      <c r="E9" s="31" t="str">
        <f>HYPERLINK("mailto:varsha.singh@arm.com","varsha.singh@arm.com")</f>
        <v>varsha.singh@arm.com</v>
      </c>
      <c r="F9" s="24"/>
    </row>
    <row r="10" spans="1:6" ht="39" customHeight="1" x14ac:dyDescent="0.2">
      <c r="A10" s="32" t="s">
        <v>29</v>
      </c>
      <c r="B10" s="33" t="s">
        <v>30</v>
      </c>
      <c r="C10" s="33" t="s">
        <v>31</v>
      </c>
      <c r="D10" s="33">
        <v>8105766553</v>
      </c>
      <c r="E10" s="34" t="str">
        <f>HYPERLINK("mailto:purushotham.k@atkinsglobal.com","purushotham.k@atkinsglobal.com")</f>
        <v>purushotham.k@atkinsglobal.com</v>
      </c>
      <c r="F10" s="33"/>
    </row>
    <row r="11" spans="1:6" ht="26.25" customHeight="1" x14ac:dyDescent="0.2">
      <c r="A11" s="29" t="s">
        <v>32</v>
      </c>
      <c r="B11" s="30" t="s">
        <v>33</v>
      </c>
      <c r="C11" s="30" t="s">
        <v>34</v>
      </c>
      <c r="D11" s="30">
        <v>9731146524</v>
      </c>
      <c r="E11" s="35" t="s">
        <v>35</v>
      </c>
      <c r="F11" s="24"/>
    </row>
    <row r="12" spans="1:6" ht="39" customHeight="1" x14ac:dyDescent="0.2">
      <c r="A12" s="29" t="s">
        <v>36</v>
      </c>
      <c r="B12" s="24" t="s">
        <v>37</v>
      </c>
      <c r="C12" s="24" t="s">
        <v>38</v>
      </c>
      <c r="D12" s="36">
        <v>8066998300</v>
      </c>
      <c r="E12" s="37"/>
      <c r="F12" s="24"/>
    </row>
    <row r="13" spans="1:6" ht="30" customHeight="1" x14ac:dyDescent="0.2">
      <c r="A13" s="29" t="s">
        <v>39</v>
      </c>
      <c r="B13" s="30" t="s">
        <v>40</v>
      </c>
      <c r="C13" s="30" t="s">
        <v>41</v>
      </c>
      <c r="D13" s="30">
        <v>8039541000</v>
      </c>
      <c r="E13" s="38" t="str">
        <f>HYPERLINK("mailto:gayatri.kunjithaya@citrix.com","gayatri.kunjithaya@citrix.com")</f>
        <v>gayatri.kunjithaya@citrix.com</v>
      </c>
      <c r="F13" s="26"/>
    </row>
    <row r="14" spans="1:6" ht="26.25" customHeight="1" x14ac:dyDescent="0.2">
      <c r="A14" s="29" t="s">
        <v>42</v>
      </c>
      <c r="B14" s="30" t="s">
        <v>43</v>
      </c>
      <c r="C14" s="30" t="s">
        <v>44</v>
      </c>
      <c r="D14" s="30" t="s">
        <v>45</v>
      </c>
      <c r="E14" s="35" t="s">
        <v>46</v>
      </c>
      <c r="F14" s="26"/>
    </row>
    <row r="15" spans="1:6" ht="26.25" customHeight="1" x14ac:dyDescent="0.2">
      <c r="A15" s="39" t="s">
        <v>47</v>
      </c>
      <c r="B15" s="33" t="s">
        <v>48</v>
      </c>
      <c r="C15" s="33" t="s">
        <v>49</v>
      </c>
      <c r="D15" s="33">
        <v>9845376716</v>
      </c>
      <c r="E15" s="34" t="str">
        <f>HYPERLINK("mailto:pradeep.kumar2@emids.com","pradeep.kumar2@emids.com")</f>
        <v>pradeep.kumar2@emids.com</v>
      </c>
      <c r="F15" s="33"/>
    </row>
    <row r="16" spans="1:6" ht="26.25" customHeight="1" x14ac:dyDescent="0.2">
      <c r="A16" s="29" t="s">
        <v>50</v>
      </c>
      <c r="B16" s="30" t="s">
        <v>51</v>
      </c>
      <c r="C16" s="30" t="s">
        <v>52</v>
      </c>
      <c r="D16" s="30">
        <v>9880710534</v>
      </c>
      <c r="E16" s="30" t="s">
        <v>53</v>
      </c>
      <c r="F16" s="26"/>
    </row>
    <row r="17" spans="1:6" ht="28" x14ac:dyDescent="0.2">
      <c r="A17" s="23" t="s">
        <v>54</v>
      </c>
      <c r="B17" s="24" t="s">
        <v>55</v>
      </c>
      <c r="C17" s="24" t="s">
        <v>13</v>
      </c>
      <c r="D17" s="24">
        <v>33575328</v>
      </c>
      <c r="E17" s="27" t="str">
        <f>HYPERLINK("mailto:pramdoss@in.imshealth.com","pramdoss@in.imshealth.com")</f>
        <v>pramdoss@in.imshealth.com</v>
      </c>
      <c r="F17" s="28"/>
    </row>
    <row r="18" spans="1:6" x14ac:dyDescent="0.2">
      <c r="A18" s="23" t="s">
        <v>56</v>
      </c>
      <c r="B18" s="24"/>
      <c r="C18" s="24"/>
      <c r="D18" s="24"/>
      <c r="E18" s="27"/>
      <c r="F18" s="28"/>
    </row>
    <row r="19" spans="1:6" x14ac:dyDescent="0.2">
      <c r="A19" s="29" t="s">
        <v>57</v>
      </c>
      <c r="B19" s="24" t="s">
        <v>58</v>
      </c>
      <c r="C19" s="24" t="s">
        <v>49</v>
      </c>
      <c r="D19" s="24"/>
      <c r="E19" s="24" t="s">
        <v>59</v>
      </c>
      <c r="F19" s="26"/>
    </row>
    <row r="20" spans="1:6" x14ac:dyDescent="0.2">
      <c r="A20" s="23" t="s">
        <v>60</v>
      </c>
      <c r="B20" s="26" t="s">
        <v>61</v>
      </c>
      <c r="C20" s="26" t="s">
        <v>62</v>
      </c>
      <c r="D20" s="36"/>
      <c r="E20" s="27" t="str">
        <f>HYPERLINK("mailto:vishnu.i@myntra.com","vishnu.i@myntra.com")</f>
        <v>vishnu.i@myntra.com</v>
      </c>
      <c r="F20" s="26"/>
    </row>
    <row r="21" spans="1:6" x14ac:dyDescent="0.2">
      <c r="A21" s="23" t="s">
        <v>63</v>
      </c>
      <c r="B21" s="24" t="s">
        <v>64</v>
      </c>
      <c r="C21" s="24" t="s">
        <v>65</v>
      </c>
      <c r="D21" s="24">
        <v>9845212809</v>
      </c>
      <c r="E21" s="40" t="str">
        <f>HYPERLINK("mailto:gmanoj@novell.com","gmanoj@novell.com")</f>
        <v>gmanoj@novell.com</v>
      </c>
      <c r="F21" s="26"/>
    </row>
    <row r="22" spans="1:6" ht="28" x14ac:dyDescent="0.2">
      <c r="A22" s="29" t="s">
        <v>66</v>
      </c>
      <c r="B22" s="24" t="s">
        <v>66</v>
      </c>
      <c r="C22" s="24" t="s">
        <v>67</v>
      </c>
      <c r="D22" s="24"/>
      <c r="E22" s="41" t="str">
        <f>HYPERLINK("mailto:m.m.hussain@phillips.com","m.m.hussain@phillips.com")</f>
        <v>m.m.hussain@phillips.com</v>
      </c>
      <c r="F22" s="42"/>
    </row>
    <row r="23" spans="1:6" ht="28" x14ac:dyDescent="0.2">
      <c r="A23" s="23" t="s">
        <v>68</v>
      </c>
      <c r="B23" s="24" t="s">
        <v>69</v>
      </c>
      <c r="C23" s="24" t="s">
        <v>70</v>
      </c>
      <c r="D23" s="24">
        <v>9740522292</v>
      </c>
      <c r="E23" s="40" t="str">
        <f>HYPERLINK("mailto:trinette@qualcomm.com","trinette@qualcomm.com")</f>
        <v>trinette@qualcomm.com</v>
      </c>
      <c r="F23" s="26"/>
    </row>
    <row r="24" spans="1:6" x14ac:dyDescent="0.2">
      <c r="A24" s="43" t="s">
        <v>71</v>
      </c>
      <c r="B24" s="44"/>
      <c r="C24" s="44"/>
      <c r="D24" s="44"/>
      <c r="E24" s="45"/>
      <c r="F24" s="46"/>
    </row>
    <row r="25" spans="1:6" ht="26.25" customHeight="1" x14ac:dyDescent="0.2">
      <c r="A25" s="29" t="s">
        <v>72</v>
      </c>
      <c r="B25" s="30" t="s">
        <v>73</v>
      </c>
      <c r="C25" s="30" t="s">
        <v>74</v>
      </c>
      <c r="D25" s="30">
        <v>9986911160</v>
      </c>
      <c r="E25" s="30" t="s">
        <v>75</v>
      </c>
      <c r="F25" s="26"/>
    </row>
    <row r="26" spans="1:6" ht="26.25" customHeight="1" x14ac:dyDescent="0.2">
      <c r="A26" s="23" t="s">
        <v>76</v>
      </c>
      <c r="B26" s="47" t="s">
        <v>77</v>
      </c>
      <c r="C26" s="47" t="s">
        <v>13</v>
      </c>
      <c r="D26" s="30">
        <v>9880044536</v>
      </c>
      <c r="E26" s="48" t="str">
        <f>HYPERLINK("mailto:mangalam.kumar@softwareag.com","mangalam.kumar@softwareag.com")</f>
        <v>mangalam.kumar@softwareag.com</v>
      </c>
      <c r="F26" s="26"/>
    </row>
    <row r="27" spans="1:6" ht="26.25" customHeight="1" x14ac:dyDescent="0.2">
      <c r="A27" s="23" t="s">
        <v>78</v>
      </c>
      <c r="B27" s="30" t="s">
        <v>79</v>
      </c>
      <c r="C27" s="48" t="s">
        <v>10</v>
      </c>
      <c r="D27" s="30">
        <v>9916141345</v>
      </c>
      <c r="E27" s="48" t="str">
        <f>HYPERLINK("mailto:sundaralingam.pashupathy@syngeneintl.com","sundaralingam.pashupathy@syngeneintl.com")</f>
        <v>sundaralingam.pashupathy@syngeneintl.com</v>
      </c>
      <c r="F27" s="26"/>
    </row>
    <row r="28" spans="1:6" ht="28" x14ac:dyDescent="0.2">
      <c r="A28" s="23" t="s">
        <v>80</v>
      </c>
      <c r="B28" s="47" t="s">
        <v>81</v>
      </c>
      <c r="C28" s="47" t="s">
        <v>82</v>
      </c>
      <c r="D28" s="47">
        <v>9980044525</v>
      </c>
      <c r="E28" s="48" t="str">
        <f>HYPERLINK("mailto:suraj.pinto@target.com","suraj.pinto@target.com")</f>
        <v>suraj.pinto@target.com</v>
      </c>
      <c r="F28" s="26"/>
    </row>
    <row r="29" spans="1:6" ht="26.25" customHeight="1" x14ac:dyDescent="0.2">
      <c r="A29" s="23" t="s">
        <v>83</v>
      </c>
      <c r="B29" s="30" t="s">
        <v>84</v>
      </c>
      <c r="C29" s="30" t="s">
        <v>85</v>
      </c>
      <c r="D29" s="30">
        <v>9845150181</v>
      </c>
      <c r="E29" s="48" t="str">
        <f>HYPERLINK("mailto:abraham.cherian@in.tesco.com","abraham.cherian@in.tesco.com")</f>
        <v>abraham.cherian@in.tesco.com</v>
      </c>
      <c r="F29" s="26"/>
    </row>
    <row r="30" spans="1:6" ht="28" x14ac:dyDescent="0.2">
      <c r="A30" s="23" t="s">
        <v>86</v>
      </c>
      <c r="B30" s="30" t="s">
        <v>87</v>
      </c>
      <c r="C30" s="30" t="s">
        <v>31</v>
      </c>
      <c r="D30" s="30">
        <v>9902948096</v>
      </c>
      <c r="E30" s="48" t="str">
        <f>HYPERLINK("mailto:pbhattad@textron.com","pbhattad@textron.com")</f>
        <v>pbhattad@textron.com</v>
      </c>
      <c r="F30" s="26"/>
    </row>
    <row r="31" spans="1:6" ht="26.25" customHeight="1" x14ac:dyDescent="0.2">
      <c r="A31" s="23" t="s">
        <v>88</v>
      </c>
      <c r="B31" s="24" t="s">
        <v>89</v>
      </c>
      <c r="C31" s="24" t="s">
        <v>10</v>
      </c>
      <c r="D31" s="24">
        <v>9886640333</v>
      </c>
      <c r="E31" s="40" t="str">
        <f>HYPERLINK("mailto:rex.michael@thomsonreuters.com","rex.michael@thomsonreuters.com")</f>
        <v>rex.michael@thomsonreuters.com</v>
      </c>
      <c r="F31" s="26"/>
    </row>
    <row r="32" spans="1:6" ht="28" x14ac:dyDescent="0.2">
      <c r="A32" s="29" t="s">
        <v>90</v>
      </c>
      <c r="B32" s="30" t="s">
        <v>91</v>
      </c>
      <c r="C32" s="30" t="s">
        <v>92</v>
      </c>
      <c r="D32" s="30">
        <v>9886442499</v>
      </c>
      <c r="E32" s="30" t="s">
        <v>93</v>
      </c>
      <c r="F32" s="26"/>
    </row>
    <row r="33" spans="1:6" x14ac:dyDescent="0.2">
      <c r="A33" s="23" t="s">
        <v>94</v>
      </c>
      <c r="B33" s="36"/>
      <c r="C33" s="36"/>
      <c r="D33" s="36"/>
      <c r="E33" s="37"/>
      <c r="F33" s="26"/>
    </row>
    <row r="34" spans="1:6" x14ac:dyDescent="0.2">
      <c r="A34" s="49" t="s">
        <v>95</v>
      </c>
      <c r="B34" s="49" t="s">
        <v>96</v>
      </c>
      <c r="C34" s="49" t="s">
        <v>97</v>
      </c>
      <c r="D34" s="50"/>
      <c r="E34" s="51" t="s">
        <v>98</v>
      </c>
      <c r="F34" s="42"/>
    </row>
    <row r="35" spans="1:6" x14ac:dyDescent="0.2">
      <c r="A35" s="14"/>
      <c r="B35" s="14"/>
      <c r="C35" s="14"/>
      <c r="D35" s="14"/>
      <c r="E35" s="15"/>
      <c r="F35" s="16"/>
    </row>
    <row r="36" spans="1:6" x14ac:dyDescent="0.2">
      <c r="A36" s="12"/>
      <c r="B36" s="12"/>
      <c r="C36" s="12"/>
      <c r="D36" s="12"/>
      <c r="E36" s="13"/>
      <c r="F36" s="11"/>
    </row>
    <row r="37" spans="1:6" x14ac:dyDescent="0.2">
      <c r="A37" s="12"/>
      <c r="B37" s="12"/>
      <c r="C37" s="12"/>
      <c r="D37" s="12"/>
      <c r="E37" s="13"/>
      <c r="F37" s="11"/>
    </row>
    <row r="38" spans="1:6" x14ac:dyDescent="0.2">
      <c r="A38" s="12"/>
      <c r="B38" s="12"/>
      <c r="C38" s="12"/>
      <c r="D38" s="12"/>
      <c r="E38" s="13"/>
      <c r="F38" s="11"/>
    </row>
    <row r="39" spans="1:6" x14ac:dyDescent="0.2">
      <c r="A39" s="12"/>
      <c r="B39" s="12"/>
      <c r="C39" s="12"/>
      <c r="D39" s="12"/>
      <c r="E39" s="13"/>
      <c r="F39" s="11"/>
    </row>
    <row r="40" spans="1:6" x14ac:dyDescent="0.2">
      <c r="A40" s="17"/>
      <c r="B40" s="17"/>
      <c r="C40" s="17"/>
      <c r="D40" s="17"/>
      <c r="E40" s="18"/>
      <c r="F40" s="19"/>
    </row>
    <row r="41" spans="1:6" x14ac:dyDescent="0.2">
      <c r="A41" s="17"/>
      <c r="B41" s="17"/>
      <c r="C41" s="17"/>
      <c r="D41" s="17"/>
      <c r="E41" s="18"/>
      <c r="F41" s="19"/>
    </row>
    <row r="42" spans="1:6" x14ac:dyDescent="0.2">
      <c r="A42" s="17"/>
      <c r="B42" s="17"/>
      <c r="C42" s="17"/>
      <c r="D42" s="17"/>
      <c r="E42" s="18"/>
      <c r="F42" s="19"/>
    </row>
    <row r="43" spans="1:6" x14ac:dyDescent="0.2">
      <c r="A43" s="17"/>
      <c r="B43" s="17"/>
      <c r="C43" s="17"/>
      <c r="D43" s="17"/>
      <c r="E43" s="18"/>
      <c r="F43" s="19"/>
    </row>
    <row r="44" spans="1:6" x14ac:dyDescent="0.2">
      <c r="A44" s="17"/>
      <c r="B44" s="17"/>
      <c r="C44" s="17"/>
      <c r="D44" s="17"/>
      <c r="E44" s="18"/>
      <c r="F44" s="19"/>
    </row>
    <row r="45" spans="1:6" x14ac:dyDescent="0.2">
      <c r="A45" s="17"/>
      <c r="B45" s="17"/>
      <c r="C45" s="17"/>
      <c r="D45" s="17"/>
      <c r="E45" s="18"/>
      <c r="F45" s="19"/>
    </row>
    <row r="46" spans="1:6" x14ac:dyDescent="0.2">
      <c r="A46" s="17"/>
      <c r="B46" s="17"/>
      <c r="C46" s="17"/>
      <c r="D46" s="17"/>
      <c r="E46" s="18"/>
      <c r="F46" s="19"/>
    </row>
    <row r="47" spans="1:6" x14ac:dyDescent="0.2">
      <c r="A47" s="17"/>
      <c r="B47" s="17"/>
      <c r="C47" s="17"/>
      <c r="D47" s="17"/>
      <c r="E47" s="18"/>
      <c r="F47" s="19"/>
    </row>
    <row r="48" spans="1:6" x14ac:dyDescent="0.2">
      <c r="A48" s="17"/>
      <c r="B48" s="17"/>
      <c r="C48" s="17"/>
      <c r="D48" s="17"/>
      <c r="E48" s="18"/>
      <c r="F48" s="19"/>
    </row>
    <row r="49" spans="1:6" x14ac:dyDescent="0.2">
      <c r="A49" s="17"/>
      <c r="B49" s="17"/>
      <c r="C49" s="17"/>
      <c r="D49" s="17"/>
      <c r="E49" s="18"/>
      <c r="F49" s="19"/>
    </row>
    <row r="50" spans="1:6" x14ac:dyDescent="0.2">
      <c r="A50" s="17"/>
      <c r="B50" s="17"/>
      <c r="C50" s="17"/>
      <c r="D50" s="17"/>
      <c r="E50" s="18"/>
      <c r="F50" s="19"/>
    </row>
    <row r="51" spans="1:6" x14ac:dyDescent="0.2">
      <c r="A51" s="17"/>
      <c r="B51" s="17"/>
      <c r="C51" s="17"/>
      <c r="D51" s="17"/>
      <c r="E51" s="18"/>
      <c r="F51" s="19"/>
    </row>
    <row r="52" spans="1:6" x14ac:dyDescent="0.2">
      <c r="A52" s="17"/>
      <c r="B52" s="17"/>
      <c r="C52" s="17"/>
      <c r="D52" s="17"/>
      <c r="E52" s="18"/>
      <c r="F52" s="19"/>
    </row>
    <row r="53" spans="1:6" x14ac:dyDescent="0.2">
      <c r="A53" s="17"/>
      <c r="B53" s="17"/>
      <c r="C53" s="17"/>
      <c r="D53" s="17"/>
      <c r="E53" s="18"/>
      <c r="F53" s="19"/>
    </row>
    <row r="54" spans="1:6" x14ac:dyDescent="0.2">
      <c r="A54" s="17"/>
      <c r="B54" s="17"/>
      <c r="C54" s="17"/>
      <c r="D54" s="17"/>
      <c r="E54" s="18"/>
      <c r="F54" s="19"/>
    </row>
    <row r="55" spans="1:6" x14ac:dyDescent="0.2">
      <c r="A55" s="17"/>
      <c r="B55" s="17"/>
      <c r="C55" s="17"/>
      <c r="D55" s="17"/>
      <c r="E55" s="18"/>
      <c r="F55" s="19"/>
    </row>
    <row r="56" spans="1:6" x14ac:dyDescent="0.2">
      <c r="A56" s="17"/>
      <c r="B56" s="17"/>
      <c r="C56" s="17"/>
      <c r="D56" s="17"/>
      <c r="E56" s="18"/>
      <c r="F56" s="19"/>
    </row>
    <row r="57" spans="1:6" x14ac:dyDescent="0.2">
      <c r="A57" s="17"/>
      <c r="B57" s="17"/>
      <c r="C57" s="17"/>
      <c r="D57" s="17"/>
      <c r="E57" s="18"/>
      <c r="F57" s="19"/>
    </row>
    <row r="58" spans="1:6" x14ac:dyDescent="0.2">
      <c r="A58" s="17"/>
      <c r="B58" s="17"/>
      <c r="C58" s="17"/>
      <c r="D58" s="17"/>
      <c r="E58" s="18"/>
      <c r="F58" s="19"/>
    </row>
    <row r="59" spans="1:6" x14ac:dyDescent="0.2">
      <c r="A59" s="17"/>
      <c r="B59" s="17"/>
      <c r="C59" s="17"/>
      <c r="D59" s="17"/>
      <c r="E59" s="18"/>
      <c r="F59" s="19"/>
    </row>
    <row r="60" spans="1:6" x14ac:dyDescent="0.2">
      <c r="A60" s="17"/>
      <c r="B60" s="17"/>
      <c r="C60" s="17"/>
      <c r="D60" s="17"/>
      <c r="E60" s="18"/>
      <c r="F60" s="19"/>
    </row>
    <row r="61" spans="1:6" x14ac:dyDescent="0.2">
      <c r="A61" s="17"/>
      <c r="B61" s="17"/>
      <c r="C61" s="17"/>
      <c r="D61" s="17"/>
      <c r="E61" s="18"/>
      <c r="F61" s="19"/>
    </row>
    <row r="62" spans="1:6" x14ac:dyDescent="0.2">
      <c r="A62" s="17"/>
      <c r="B62" s="17"/>
      <c r="C62" s="17"/>
      <c r="D62" s="17"/>
      <c r="E62" s="18"/>
      <c r="F62" s="19"/>
    </row>
    <row r="63" spans="1:6" x14ac:dyDescent="0.2">
      <c r="A63" s="17"/>
      <c r="B63" s="17"/>
      <c r="C63" s="17"/>
      <c r="D63" s="17"/>
      <c r="E63" s="18"/>
      <c r="F63" s="19"/>
    </row>
    <row r="64" spans="1:6" x14ac:dyDescent="0.2">
      <c r="A64" s="17"/>
      <c r="B64" s="17"/>
      <c r="C64" s="17"/>
      <c r="D64" s="17"/>
      <c r="E64" s="18"/>
      <c r="F64" s="19"/>
    </row>
    <row r="65" spans="1:6" x14ac:dyDescent="0.2">
      <c r="A65" s="17"/>
      <c r="B65" s="17"/>
      <c r="C65" s="17"/>
      <c r="D65" s="17"/>
      <c r="E65" s="18"/>
      <c r="F65" s="19"/>
    </row>
    <row r="66" spans="1:6" x14ac:dyDescent="0.2">
      <c r="A66" s="17"/>
      <c r="B66" s="17"/>
      <c r="C66" s="17"/>
      <c r="D66" s="17"/>
      <c r="E66" s="18"/>
      <c r="F66" s="19"/>
    </row>
    <row r="67" spans="1:6" x14ac:dyDescent="0.2">
      <c r="A67" s="17"/>
      <c r="B67" s="17"/>
      <c r="C67" s="17"/>
      <c r="D67" s="17"/>
      <c r="E67" s="18"/>
      <c r="F67" s="19"/>
    </row>
    <row r="68" spans="1:6" x14ac:dyDescent="0.2">
      <c r="A68" s="17"/>
      <c r="B68" s="17"/>
      <c r="C68" s="17"/>
      <c r="D68" s="17"/>
      <c r="E68" s="18"/>
      <c r="F68" s="19"/>
    </row>
    <row r="69" spans="1:6" x14ac:dyDescent="0.2">
      <c r="A69" s="17"/>
      <c r="B69" s="17"/>
      <c r="C69" s="17"/>
      <c r="D69" s="17"/>
      <c r="E69" s="18"/>
      <c r="F69" s="19"/>
    </row>
    <row r="70" spans="1:6" x14ac:dyDescent="0.2">
      <c r="A70" s="17"/>
      <c r="B70" s="17"/>
      <c r="C70" s="17"/>
      <c r="D70" s="17"/>
      <c r="E70" s="18"/>
      <c r="F70" s="19"/>
    </row>
    <row r="71" spans="1:6" x14ac:dyDescent="0.2">
      <c r="A71" s="17"/>
      <c r="B71" s="17"/>
      <c r="C71" s="17"/>
      <c r="D71" s="17"/>
      <c r="E71" s="18"/>
      <c r="F71" s="19"/>
    </row>
    <row r="72" spans="1:6" x14ac:dyDescent="0.2">
      <c r="A72" s="17"/>
      <c r="B72" s="17"/>
      <c r="C72" s="17"/>
      <c r="D72" s="17"/>
      <c r="E72" s="18"/>
      <c r="F72" s="19"/>
    </row>
    <row r="73" spans="1:6" x14ac:dyDescent="0.2">
      <c r="A73" s="17"/>
      <c r="B73" s="17"/>
      <c r="C73" s="17"/>
      <c r="D73" s="17"/>
      <c r="E73" s="18"/>
      <c r="F73" s="19"/>
    </row>
    <row r="74" spans="1:6" x14ac:dyDescent="0.2">
      <c r="A74" s="17"/>
      <c r="B74" s="17"/>
      <c r="C74" s="17"/>
      <c r="D74" s="17"/>
      <c r="E74" s="18"/>
      <c r="F74" s="19"/>
    </row>
    <row r="75" spans="1:6" x14ac:dyDescent="0.2">
      <c r="A75" s="17"/>
      <c r="B75" s="17"/>
      <c r="C75" s="17"/>
      <c r="D75" s="17"/>
      <c r="E75" s="18"/>
      <c r="F75" s="19"/>
    </row>
    <row r="76" spans="1:6" x14ac:dyDescent="0.2">
      <c r="A76" s="17"/>
      <c r="B76" s="17"/>
      <c r="C76" s="17"/>
      <c r="D76" s="17"/>
      <c r="E76" s="18"/>
      <c r="F76" s="19"/>
    </row>
    <row r="77" spans="1:6" x14ac:dyDescent="0.2">
      <c r="A77" s="17"/>
      <c r="B77" s="17"/>
      <c r="C77" s="17"/>
      <c r="D77" s="17"/>
      <c r="E77" s="18"/>
      <c r="F77" s="19"/>
    </row>
    <row r="78" spans="1:6" x14ac:dyDescent="0.2">
      <c r="A78" s="17"/>
      <c r="B78" s="17"/>
      <c r="C78" s="17"/>
      <c r="D78" s="17"/>
      <c r="E78" s="18"/>
      <c r="F78" s="19"/>
    </row>
    <row r="79" spans="1:6" x14ac:dyDescent="0.2">
      <c r="A79" s="17"/>
      <c r="B79" s="17"/>
      <c r="C79" s="17"/>
      <c r="D79" s="17"/>
      <c r="E79" s="18"/>
      <c r="F79" s="19"/>
    </row>
    <row r="80" spans="1:6" x14ac:dyDescent="0.2">
      <c r="A80" s="17"/>
      <c r="B80" s="17"/>
      <c r="C80" s="17"/>
      <c r="D80" s="17"/>
      <c r="E80" s="18"/>
      <c r="F80" s="19"/>
    </row>
    <row r="81" spans="1:6" x14ac:dyDescent="0.2">
      <c r="A81" s="17"/>
      <c r="B81" s="17"/>
      <c r="C81" s="17"/>
      <c r="D81" s="17"/>
      <c r="E81" s="18"/>
      <c r="F81" s="19"/>
    </row>
    <row r="82" spans="1:6" x14ac:dyDescent="0.2">
      <c r="A82" s="17"/>
      <c r="B82" s="17"/>
      <c r="C82" s="17"/>
      <c r="D82" s="17"/>
      <c r="E82" s="18"/>
      <c r="F82" s="19"/>
    </row>
    <row r="83" spans="1:6" x14ac:dyDescent="0.2">
      <c r="A83" s="17"/>
      <c r="B83" s="17"/>
      <c r="C83" s="17"/>
      <c r="D83" s="17"/>
      <c r="E83" s="18"/>
      <c r="F83" s="19"/>
    </row>
    <row r="84" spans="1:6" x14ac:dyDescent="0.2">
      <c r="A84" s="17"/>
      <c r="B84" s="17"/>
      <c r="C84" s="17"/>
      <c r="D84" s="17"/>
      <c r="E84" s="18"/>
      <c r="F84" s="19"/>
    </row>
    <row r="85" spans="1:6" x14ac:dyDescent="0.2">
      <c r="A85" s="17"/>
      <c r="B85" s="17"/>
      <c r="C85" s="17"/>
      <c r="D85" s="17"/>
      <c r="E85" s="18"/>
      <c r="F85" s="19"/>
    </row>
    <row r="86" spans="1:6" x14ac:dyDescent="0.2">
      <c r="A86" s="17"/>
      <c r="B86" s="17"/>
      <c r="C86" s="17"/>
      <c r="D86" s="17"/>
      <c r="E86" s="18"/>
      <c r="F86" s="19"/>
    </row>
    <row r="87" spans="1:6" x14ac:dyDescent="0.2">
      <c r="A87" s="17"/>
      <c r="B87" s="17"/>
      <c r="C87" s="17"/>
      <c r="D87" s="17"/>
      <c r="E87" s="18"/>
      <c r="F87" s="19"/>
    </row>
    <row r="88" spans="1:6" x14ac:dyDescent="0.2">
      <c r="A88" s="17"/>
      <c r="B88" s="17"/>
      <c r="C88" s="17"/>
      <c r="D88" s="17"/>
      <c r="E88" s="18"/>
      <c r="F88" s="19"/>
    </row>
    <row r="89" spans="1:6" x14ac:dyDescent="0.2">
      <c r="A89" s="17"/>
      <c r="B89" s="17"/>
      <c r="C89" s="17"/>
      <c r="D89" s="17"/>
      <c r="E89" s="18"/>
      <c r="F89" s="19"/>
    </row>
    <row r="90" spans="1:6" x14ac:dyDescent="0.2">
      <c r="A90" s="17"/>
      <c r="B90" s="17"/>
      <c r="C90" s="17"/>
      <c r="D90" s="17"/>
      <c r="E90" s="18"/>
      <c r="F90" s="19"/>
    </row>
    <row r="91" spans="1:6" x14ac:dyDescent="0.2">
      <c r="A91" s="17"/>
      <c r="B91" s="17"/>
      <c r="C91" s="17"/>
      <c r="D91" s="17"/>
      <c r="E91" s="18"/>
      <c r="F91" s="19"/>
    </row>
    <row r="92" spans="1:6" x14ac:dyDescent="0.2">
      <c r="A92" s="17"/>
      <c r="B92" s="17"/>
      <c r="C92" s="17"/>
      <c r="D92" s="17"/>
      <c r="E92" s="18"/>
      <c r="F92" s="19"/>
    </row>
    <row r="93" spans="1:6" x14ac:dyDescent="0.2">
      <c r="A93" s="17"/>
      <c r="B93" s="17"/>
      <c r="C93" s="17"/>
      <c r="D93" s="17"/>
      <c r="E93" s="18"/>
      <c r="F93" s="19"/>
    </row>
    <row r="94" spans="1:6" x14ac:dyDescent="0.2">
      <c r="A94" s="17"/>
      <c r="B94" s="17"/>
      <c r="C94" s="17"/>
      <c r="D94" s="17"/>
      <c r="E94" s="18"/>
      <c r="F94" s="19"/>
    </row>
    <row r="95" spans="1:6" x14ac:dyDescent="0.2">
      <c r="A95" s="17"/>
      <c r="B95" s="17"/>
      <c r="C95" s="17"/>
      <c r="D95" s="17"/>
      <c r="E95" s="18"/>
      <c r="F95" s="19"/>
    </row>
    <row r="96" spans="1:6" x14ac:dyDescent="0.2">
      <c r="A96" s="17"/>
      <c r="B96" s="17"/>
      <c r="C96" s="17"/>
      <c r="D96" s="17"/>
      <c r="E96" s="18"/>
      <c r="F96" s="19"/>
    </row>
    <row r="97" spans="1:6" x14ac:dyDescent="0.2">
      <c r="A97" s="17"/>
      <c r="B97" s="17"/>
      <c r="C97" s="17"/>
      <c r="D97" s="17"/>
      <c r="E97" s="18"/>
      <c r="F97" s="19"/>
    </row>
    <row r="98" spans="1:6" x14ac:dyDescent="0.2">
      <c r="A98" s="17"/>
      <c r="B98" s="17"/>
      <c r="C98" s="17"/>
      <c r="D98" s="17"/>
      <c r="E98" s="18"/>
      <c r="F98" s="19"/>
    </row>
    <row r="99" spans="1:6" x14ac:dyDescent="0.2">
      <c r="A99" s="17"/>
      <c r="B99" s="17"/>
      <c r="C99" s="17"/>
      <c r="D99" s="17"/>
      <c r="E99" s="18"/>
      <c r="F99" s="19"/>
    </row>
    <row r="100" spans="1:6" x14ac:dyDescent="0.2">
      <c r="A100" s="17"/>
      <c r="B100" s="17"/>
      <c r="C100" s="17"/>
      <c r="D100" s="17"/>
      <c r="E100" s="18"/>
      <c r="F100" s="19"/>
    </row>
    <row r="101" spans="1:6" x14ac:dyDescent="0.2">
      <c r="A101" s="17"/>
      <c r="B101" s="17"/>
      <c r="C101" s="17"/>
      <c r="D101" s="17"/>
      <c r="E101" s="18"/>
      <c r="F101" s="19"/>
    </row>
    <row r="102" spans="1:6" x14ac:dyDescent="0.2">
      <c r="A102" s="17"/>
      <c r="B102" s="17"/>
      <c r="C102" s="17"/>
      <c r="D102" s="17"/>
      <c r="E102" s="18"/>
      <c r="F102" s="19"/>
    </row>
    <row r="103" spans="1:6" x14ac:dyDescent="0.2">
      <c r="A103" s="17"/>
      <c r="B103" s="17"/>
      <c r="C103" s="17"/>
      <c r="D103" s="17"/>
      <c r="E103" s="18"/>
      <c r="F103" s="19"/>
    </row>
    <row r="104" spans="1:6" x14ac:dyDescent="0.2">
      <c r="A104" s="17"/>
      <c r="B104" s="17"/>
      <c r="C104" s="17"/>
      <c r="D104" s="17"/>
      <c r="E104" s="18"/>
      <c r="F104" s="19"/>
    </row>
    <row r="105" spans="1:6" x14ac:dyDescent="0.2">
      <c r="A105" s="17"/>
      <c r="B105" s="17"/>
      <c r="C105" s="17"/>
      <c r="D105" s="17"/>
      <c r="E105" s="18"/>
      <c r="F105" s="19"/>
    </row>
    <row r="106" spans="1:6" x14ac:dyDescent="0.2">
      <c r="A106" s="17"/>
      <c r="B106" s="17"/>
      <c r="C106" s="17"/>
      <c r="D106" s="17"/>
      <c r="E106" s="18"/>
      <c r="F106" s="19"/>
    </row>
    <row r="107" spans="1:6" x14ac:dyDescent="0.2">
      <c r="A107" s="17"/>
      <c r="B107" s="17"/>
      <c r="C107" s="17"/>
      <c r="D107" s="17"/>
      <c r="E107" s="18"/>
      <c r="F107" s="19"/>
    </row>
    <row r="108" spans="1:6" x14ac:dyDescent="0.2">
      <c r="A108" s="17"/>
      <c r="B108" s="17"/>
      <c r="C108" s="17"/>
      <c r="D108" s="17"/>
      <c r="E108" s="18"/>
      <c r="F108" s="19"/>
    </row>
    <row r="109" spans="1:6" x14ac:dyDescent="0.2">
      <c r="A109" s="17"/>
      <c r="B109" s="17"/>
      <c r="C109" s="17"/>
      <c r="D109" s="17"/>
      <c r="E109" s="18"/>
      <c r="F109" s="19"/>
    </row>
    <row r="110" spans="1:6" x14ac:dyDescent="0.2">
      <c r="A110" s="17"/>
      <c r="B110" s="17"/>
      <c r="C110" s="17"/>
      <c r="D110" s="17"/>
      <c r="E110" s="18"/>
      <c r="F110" s="19"/>
    </row>
    <row r="111" spans="1:6" x14ac:dyDescent="0.2">
      <c r="A111" s="17"/>
      <c r="B111" s="17"/>
      <c r="C111" s="17"/>
      <c r="D111" s="17"/>
      <c r="E111" s="18"/>
      <c r="F111" s="19"/>
    </row>
    <row r="112" spans="1:6" x14ac:dyDescent="0.2">
      <c r="A112" s="17"/>
      <c r="B112" s="17"/>
      <c r="C112" s="17"/>
      <c r="D112" s="17"/>
      <c r="E112" s="18"/>
      <c r="F112" s="19"/>
    </row>
    <row r="113" spans="1:6" x14ac:dyDescent="0.2">
      <c r="A113" s="17"/>
      <c r="B113" s="17"/>
      <c r="C113" s="17"/>
      <c r="D113" s="17"/>
      <c r="E113" s="18"/>
      <c r="F113" s="19"/>
    </row>
    <row r="114" spans="1:6" x14ac:dyDescent="0.2">
      <c r="A114" s="17"/>
      <c r="B114" s="17"/>
      <c r="C114" s="17"/>
      <c r="D114" s="17"/>
      <c r="E114" s="18"/>
      <c r="F114" s="19"/>
    </row>
    <row r="115" spans="1:6" x14ac:dyDescent="0.2">
      <c r="A115" s="17"/>
      <c r="B115" s="17"/>
      <c r="C115" s="17"/>
      <c r="D115" s="17"/>
      <c r="E115" s="18"/>
      <c r="F115" s="19"/>
    </row>
    <row r="116" spans="1:6" x14ac:dyDescent="0.2">
      <c r="A116" s="17"/>
      <c r="B116" s="17"/>
      <c r="C116" s="17"/>
      <c r="D116" s="17"/>
      <c r="E116" s="18"/>
      <c r="F116" s="19"/>
    </row>
    <row r="117" spans="1:6" x14ac:dyDescent="0.2">
      <c r="A117" s="17"/>
      <c r="B117" s="17"/>
      <c r="C117" s="17"/>
      <c r="D117" s="17"/>
      <c r="E117" s="18"/>
      <c r="F117" s="19"/>
    </row>
    <row r="118" spans="1:6" x14ac:dyDescent="0.2">
      <c r="A118" s="17"/>
      <c r="B118" s="17"/>
      <c r="C118" s="17"/>
      <c r="D118" s="17"/>
      <c r="E118" s="18"/>
      <c r="F118" s="19"/>
    </row>
    <row r="119" spans="1:6" x14ac:dyDescent="0.2">
      <c r="A119" s="17"/>
      <c r="B119" s="17"/>
      <c r="C119" s="17"/>
      <c r="D119" s="17"/>
      <c r="E119" s="18"/>
      <c r="F119" s="19"/>
    </row>
    <row r="120" spans="1:6" x14ac:dyDescent="0.2">
      <c r="A120" s="17"/>
      <c r="B120" s="17"/>
      <c r="C120" s="17"/>
      <c r="D120" s="17"/>
      <c r="E120" s="18"/>
      <c r="F120" s="19"/>
    </row>
    <row r="121" spans="1:6" x14ac:dyDescent="0.2">
      <c r="A121" s="17"/>
      <c r="B121" s="17"/>
      <c r="C121" s="17"/>
      <c r="D121" s="17"/>
      <c r="E121" s="18"/>
      <c r="F121" s="19"/>
    </row>
    <row r="122" spans="1:6" x14ac:dyDescent="0.2">
      <c r="A122" s="17"/>
      <c r="B122" s="17"/>
      <c r="C122" s="17"/>
      <c r="D122" s="17"/>
      <c r="E122" s="18"/>
      <c r="F122" s="19"/>
    </row>
    <row r="123" spans="1:6" x14ac:dyDescent="0.2">
      <c r="A123" s="17"/>
      <c r="B123" s="17"/>
      <c r="C123" s="17"/>
      <c r="D123" s="17"/>
      <c r="E123" s="18"/>
      <c r="F123" s="19"/>
    </row>
    <row r="124" spans="1:6" x14ac:dyDescent="0.2">
      <c r="A124" s="17"/>
      <c r="B124" s="17"/>
      <c r="C124" s="17"/>
      <c r="D124" s="17"/>
      <c r="E124" s="18"/>
      <c r="F124" s="19"/>
    </row>
    <row r="125" spans="1:6" x14ac:dyDescent="0.2">
      <c r="A125" s="17"/>
      <c r="B125" s="17"/>
      <c r="C125" s="17"/>
      <c r="D125" s="17"/>
      <c r="E125" s="18"/>
      <c r="F125" s="19"/>
    </row>
    <row r="126" spans="1:6" x14ac:dyDescent="0.2">
      <c r="A126" s="17"/>
      <c r="B126" s="17"/>
      <c r="C126" s="17"/>
      <c r="D126" s="17"/>
      <c r="E126" s="18"/>
      <c r="F126" s="19"/>
    </row>
    <row r="127" spans="1:6" x14ac:dyDescent="0.2">
      <c r="A127" s="17"/>
      <c r="B127" s="17"/>
      <c r="C127" s="17"/>
      <c r="D127" s="17"/>
      <c r="E127" s="18"/>
      <c r="F127" s="19"/>
    </row>
    <row r="128" spans="1:6" x14ac:dyDescent="0.2">
      <c r="A128" s="17"/>
      <c r="B128" s="17"/>
      <c r="C128" s="17"/>
      <c r="D128" s="17"/>
      <c r="E128" s="18"/>
      <c r="F128" s="19"/>
    </row>
    <row r="129" spans="1:6" x14ac:dyDescent="0.2">
      <c r="A129" s="17"/>
      <c r="B129" s="17"/>
      <c r="C129" s="17"/>
      <c r="D129" s="17"/>
      <c r="E129" s="18"/>
      <c r="F129" s="19"/>
    </row>
    <row r="130" spans="1:6" x14ac:dyDescent="0.2">
      <c r="A130" s="17"/>
      <c r="B130" s="17"/>
      <c r="C130" s="17"/>
      <c r="D130" s="17"/>
      <c r="E130" s="18"/>
      <c r="F130" s="19"/>
    </row>
    <row r="131" spans="1:6" x14ac:dyDescent="0.2">
      <c r="A131" s="17"/>
      <c r="B131" s="17"/>
      <c r="C131" s="17"/>
      <c r="D131" s="17"/>
      <c r="E131" s="18"/>
      <c r="F131" s="19"/>
    </row>
    <row r="132" spans="1:6" x14ac:dyDescent="0.2">
      <c r="A132" s="17"/>
      <c r="B132" s="17"/>
      <c r="C132" s="17"/>
      <c r="D132" s="17"/>
      <c r="E132" s="18"/>
      <c r="F132" s="19"/>
    </row>
    <row r="133" spans="1:6" x14ac:dyDescent="0.2">
      <c r="A133" s="17"/>
      <c r="B133" s="17"/>
      <c r="C133" s="17"/>
      <c r="D133" s="17"/>
      <c r="E133" s="18"/>
      <c r="F133" s="19"/>
    </row>
    <row r="134" spans="1:6" x14ac:dyDescent="0.2">
      <c r="A134" s="17"/>
      <c r="B134" s="17"/>
      <c r="C134" s="17"/>
      <c r="D134" s="17"/>
      <c r="E134" s="18"/>
      <c r="F134" s="19"/>
    </row>
    <row r="135" spans="1:6" x14ac:dyDescent="0.2">
      <c r="A135" s="17"/>
      <c r="B135" s="17"/>
      <c r="C135" s="17"/>
      <c r="D135" s="17"/>
      <c r="E135" s="18"/>
      <c r="F135" s="19"/>
    </row>
    <row r="136" spans="1:6" x14ac:dyDescent="0.2">
      <c r="A136" s="17"/>
      <c r="B136" s="17"/>
      <c r="C136" s="17"/>
      <c r="D136" s="17"/>
      <c r="E136" s="18"/>
      <c r="F136" s="19"/>
    </row>
    <row r="137" spans="1:6" x14ac:dyDescent="0.2">
      <c r="A137" s="17"/>
      <c r="B137" s="17"/>
      <c r="C137" s="17"/>
      <c r="D137" s="17"/>
      <c r="E137" s="18"/>
      <c r="F137" s="19"/>
    </row>
    <row r="138" spans="1:6" x14ac:dyDescent="0.2">
      <c r="A138" s="17"/>
      <c r="B138" s="17"/>
      <c r="C138" s="17"/>
      <c r="D138" s="17"/>
      <c r="E138" s="18"/>
      <c r="F138" s="19"/>
    </row>
    <row r="139" spans="1:6" x14ac:dyDescent="0.2">
      <c r="A139" s="17"/>
      <c r="B139" s="17"/>
      <c r="C139" s="17"/>
      <c r="D139" s="17"/>
      <c r="E139" s="18"/>
      <c r="F139" s="19"/>
    </row>
    <row r="140" spans="1:6" x14ac:dyDescent="0.2">
      <c r="A140" s="17"/>
      <c r="B140" s="17"/>
      <c r="C140" s="17"/>
      <c r="D140" s="17"/>
      <c r="E140" s="18"/>
      <c r="F140" s="19"/>
    </row>
    <row r="141" spans="1:6" x14ac:dyDescent="0.2">
      <c r="A141" s="17"/>
      <c r="B141" s="17"/>
      <c r="C141" s="17"/>
      <c r="D141" s="17"/>
      <c r="E141" s="18"/>
      <c r="F141" s="19"/>
    </row>
    <row r="142" spans="1:6" x14ac:dyDescent="0.2">
      <c r="A142" s="17"/>
      <c r="B142" s="17"/>
      <c r="C142" s="17"/>
      <c r="D142" s="17"/>
      <c r="E142" s="18"/>
      <c r="F142" s="19"/>
    </row>
    <row r="143" spans="1:6" x14ac:dyDescent="0.2">
      <c r="A143" s="17"/>
      <c r="B143" s="17"/>
      <c r="C143" s="17"/>
      <c r="D143" s="17"/>
      <c r="E143" s="18"/>
      <c r="F143" s="19"/>
    </row>
    <row r="144" spans="1:6" x14ac:dyDescent="0.2">
      <c r="A144" s="17"/>
      <c r="B144" s="17"/>
      <c r="C144" s="17"/>
      <c r="D144" s="17"/>
      <c r="E144" s="18"/>
      <c r="F144" s="19"/>
    </row>
    <row r="145" spans="1:6" x14ac:dyDescent="0.2">
      <c r="A145" s="17"/>
      <c r="B145" s="17"/>
      <c r="C145" s="17"/>
      <c r="D145" s="17"/>
      <c r="E145" s="18"/>
      <c r="F145" s="19"/>
    </row>
    <row r="146" spans="1:6" x14ac:dyDescent="0.2">
      <c r="A146" s="17"/>
      <c r="B146" s="17"/>
      <c r="C146" s="17"/>
      <c r="D146" s="17"/>
      <c r="E146" s="18"/>
      <c r="F146" s="19"/>
    </row>
    <row r="147" spans="1:6" x14ac:dyDescent="0.2">
      <c r="A147" s="17"/>
      <c r="B147" s="17"/>
      <c r="C147" s="17"/>
      <c r="D147" s="17"/>
      <c r="E147" s="18"/>
      <c r="F147" s="19"/>
    </row>
    <row r="148" spans="1:6" x14ac:dyDescent="0.2">
      <c r="A148" s="17"/>
      <c r="B148" s="17"/>
      <c r="C148" s="17"/>
      <c r="D148" s="17"/>
      <c r="E148" s="18"/>
      <c r="F148" s="19"/>
    </row>
    <row r="149" spans="1:6" x14ac:dyDescent="0.2">
      <c r="A149" s="17"/>
      <c r="B149" s="17"/>
      <c r="C149" s="17"/>
      <c r="D149" s="17"/>
      <c r="E149" s="18"/>
      <c r="F149" s="19"/>
    </row>
    <row r="150" spans="1:6" x14ac:dyDescent="0.2">
      <c r="A150" s="17"/>
      <c r="B150" s="17"/>
      <c r="C150" s="17"/>
      <c r="D150" s="17"/>
      <c r="E150" s="18"/>
      <c r="F150" s="19"/>
    </row>
    <row r="151" spans="1:6" x14ac:dyDescent="0.2">
      <c r="A151" s="17"/>
      <c r="B151" s="17"/>
      <c r="C151" s="17"/>
      <c r="D151" s="17"/>
      <c r="E151" s="18"/>
      <c r="F151" s="19"/>
    </row>
    <row r="152" spans="1:6" x14ac:dyDescent="0.2">
      <c r="A152" s="17"/>
      <c r="B152" s="17"/>
      <c r="C152" s="17"/>
      <c r="D152" s="17"/>
      <c r="E152" s="18"/>
      <c r="F152" s="19"/>
    </row>
    <row r="153" spans="1:6" x14ac:dyDescent="0.2">
      <c r="A153" s="17"/>
      <c r="B153" s="17"/>
      <c r="C153" s="17"/>
      <c r="D153" s="17"/>
      <c r="E153" s="18"/>
      <c r="F153" s="19"/>
    </row>
    <row r="154" spans="1:6" x14ac:dyDescent="0.2">
      <c r="A154" s="17"/>
      <c r="B154" s="17"/>
      <c r="C154" s="17"/>
      <c r="D154" s="17"/>
      <c r="E154" s="18"/>
      <c r="F154" s="19"/>
    </row>
    <row r="155" spans="1:6" x14ac:dyDescent="0.2">
      <c r="A155" s="17"/>
      <c r="B155" s="17"/>
      <c r="C155" s="17"/>
      <c r="D155" s="17"/>
      <c r="E155" s="18"/>
      <c r="F155" s="19"/>
    </row>
    <row r="156" spans="1:6" x14ac:dyDescent="0.2">
      <c r="A156" s="17"/>
      <c r="B156" s="17"/>
      <c r="C156" s="17"/>
      <c r="D156" s="17"/>
      <c r="E156" s="18"/>
      <c r="F156" s="19"/>
    </row>
    <row r="157" spans="1:6" x14ac:dyDescent="0.2">
      <c r="A157" s="17"/>
      <c r="B157" s="17"/>
      <c r="C157" s="17"/>
      <c r="D157" s="17"/>
      <c r="E157" s="18"/>
      <c r="F157" s="19"/>
    </row>
    <row r="158" spans="1:6" x14ac:dyDescent="0.2">
      <c r="A158" s="17"/>
      <c r="B158" s="17"/>
      <c r="C158" s="17"/>
      <c r="D158" s="17"/>
      <c r="E158" s="18"/>
      <c r="F158" s="19"/>
    </row>
    <row r="159" spans="1:6" x14ac:dyDescent="0.2">
      <c r="A159" s="17"/>
      <c r="B159" s="17"/>
      <c r="C159" s="17"/>
      <c r="D159" s="17"/>
      <c r="E159" s="18"/>
      <c r="F159" s="19"/>
    </row>
    <row r="160" spans="1:6" x14ac:dyDescent="0.2">
      <c r="A160" s="17"/>
      <c r="B160" s="17"/>
      <c r="C160" s="17"/>
      <c r="D160" s="17"/>
      <c r="E160" s="18"/>
      <c r="F160" s="19"/>
    </row>
    <row r="161" spans="1:6" x14ac:dyDescent="0.2">
      <c r="A161" s="17"/>
      <c r="B161" s="17"/>
      <c r="C161" s="17"/>
      <c r="D161" s="17"/>
      <c r="E161" s="18"/>
      <c r="F161" s="19"/>
    </row>
    <row r="162" spans="1:6" x14ac:dyDescent="0.2">
      <c r="A162" s="17"/>
      <c r="B162" s="17"/>
      <c r="C162" s="17"/>
      <c r="D162" s="17"/>
      <c r="E162" s="18"/>
      <c r="F162" s="19"/>
    </row>
    <row r="163" spans="1:6" x14ac:dyDescent="0.2">
      <c r="A163" s="17"/>
      <c r="B163" s="17"/>
      <c r="C163" s="17"/>
      <c r="D163" s="17"/>
      <c r="E163" s="18"/>
      <c r="F163" s="19"/>
    </row>
    <row r="164" spans="1:6" x14ac:dyDescent="0.2">
      <c r="A164" s="17"/>
      <c r="B164" s="17"/>
      <c r="C164" s="17"/>
      <c r="D164" s="17"/>
      <c r="E164" s="18"/>
      <c r="F164" s="19"/>
    </row>
    <row r="165" spans="1:6" x14ac:dyDescent="0.2">
      <c r="A165" s="17"/>
      <c r="B165" s="17"/>
      <c r="C165" s="17"/>
      <c r="D165" s="17"/>
      <c r="E165" s="18"/>
      <c r="F165" s="19"/>
    </row>
    <row r="166" spans="1:6" x14ac:dyDescent="0.2">
      <c r="A166" s="17"/>
      <c r="B166" s="17"/>
      <c r="C166" s="17"/>
      <c r="D166" s="17"/>
      <c r="E166" s="18"/>
      <c r="F166" s="19"/>
    </row>
    <row r="167" spans="1:6" x14ac:dyDescent="0.2">
      <c r="A167" s="17"/>
      <c r="B167" s="17"/>
      <c r="C167" s="17"/>
      <c r="D167" s="17"/>
      <c r="E167" s="18"/>
      <c r="F167" s="19"/>
    </row>
    <row r="168" spans="1:6" x14ac:dyDescent="0.2">
      <c r="A168" s="17"/>
      <c r="B168" s="17"/>
      <c r="C168" s="17"/>
      <c r="D168" s="17"/>
      <c r="E168" s="18"/>
      <c r="F168" s="19"/>
    </row>
    <row r="169" spans="1:6" x14ac:dyDescent="0.2">
      <c r="A169" s="17"/>
      <c r="B169" s="17"/>
      <c r="C169" s="17"/>
      <c r="D169" s="17"/>
      <c r="E169" s="18"/>
      <c r="F169" s="19"/>
    </row>
    <row r="170" spans="1:6" x14ac:dyDescent="0.2">
      <c r="A170" s="17"/>
      <c r="B170" s="17"/>
      <c r="C170" s="17"/>
      <c r="D170" s="17"/>
      <c r="E170" s="18"/>
      <c r="F170" s="19"/>
    </row>
    <row r="171" spans="1:6" x14ac:dyDescent="0.2">
      <c r="A171" s="17"/>
      <c r="B171" s="17"/>
      <c r="C171" s="17"/>
      <c r="D171" s="17"/>
      <c r="E171" s="18"/>
      <c r="F171" s="19"/>
    </row>
    <row r="172" spans="1:6" x14ac:dyDescent="0.2">
      <c r="A172" s="17"/>
      <c r="B172" s="17"/>
      <c r="C172" s="17"/>
      <c r="D172" s="17"/>
      <c r="E172" s="18"/>
      <c r="F172" s="19"/>
    </row>
    <row r="173" spans="1:6" x14ac:dyDescent="0.2">
      <c r="A173" s="17"/>
      <c r="B173" s="17"/>
      <c r="C173" s="17"/>
      <c r="D173" s="17"/>
      <c r="E173" s="18"/>
      <c r="F173" s="19"/>
    </row>
    <row r="174" spans="1:6" x14ac:dyDescent="0.2">
      <c r="A174" s="17"/>
      <c r="B174" s="17"/>
      <c r="C174" s="17"/>
      <c r="D174" s="17"/>
      <c r="E174" s="18"/>
      <c r="F174" s="19"/>
    </row>
    <row r="175" spans="1:6" x14ac:dyDescent="0.2">
      <c r="A175" s="17"/>
      <c r="B175" s="17"/>
      <c r="C175" s="17"/>
      <c r="D175" s="17"/>
      <c r="E175" s="18"/>
      <c r="F175" s="19"/>
    </row>
    <row r="176" spans="1:6" x14ac:dyDescent="0.2">
      <c r="A176" s="17"/>
      <c r="B176" s="17"/>
      <c r="C176" s="17"/>
      <c r="D176" s="17"/>
      <c r="E176" s="18"/>
      <c r="F176" s="19"/>
    </row>
    <row r="177" spans="1:6" x14ac:dyDescent="0.2">
      <c r="A177" s="17"/>
      <c r="B177" s="17"/>
      <c r="C177" s="17"/>
      <c r="D177" s="17"/>
      <c r="E177" s="18"/>
      <c r="F177" s="19"/>
    </row>
    <row r="178" spans="1:6" x14ac:dyDescent="0.2">
      <c r="A178" s="17"/>
      <c r="B178" s="17"/>
      <c r="C178" s="17"/>
      <c r="D178" s="17"/>
      <c r="E178" s="18"/>
      <c r="F178" s="19"/>
    </row>
    <row r="179" spans="1:6" x14ac:dyDescent="0.2">
      <c r="A179" s="17"/>
      <c r="B179" s="17"/>
      <c r="C179" s="17"/>
      <c r="D179" s="17"/>
      <c r="E179" s="18"/>
      <c r="F179" s="19"/>
    </row>
    <row r="180" spans="1:6" x14ac:dyDescent="0.2">
      <c r="A180" s="17"/>
      <c r="B180" s="17"/>
      <c r="C180" s="17"/>
      <c r="D180" s="17"/>
      <c r="E180" s="18"/>
      <c r="F180" s="19"/>
    </row>
    <row r="181" spans="1:6" x14ac:dyDescent="0.2">
      <c r="A181" s="17"/>
      <c r="B181" s="17"/>
      <c r="C181" s="17"/>
      <c r="D181" s="17"/>
      <c r="E181" s="18"/>
      <c r="F181" s="19"/>
    </row>
    <row r="182" spans="1:6" x14ac:dyDescent="0.2">
      <c r="A182" s="17"/>
      <c r="B182" s="17"/>
      <c r="C182" s="17"/>
      <c r="D182" s="17"/>
      <c r="E182" s="18"/>
      <c r="F182" s="19"/>
    </row>
    <row r="183" spans="1:6" x14ac:dyDescent="0.2">
      <c r="A183" s="17"/>
      <c r="B183" s="17"/>
      <c r="C183" s="17"/>
      <c r="D183" s="17"/>
      <c r="E183" s="18"/>
      <c r="F183" s="19"/>
    </row>
    <row r="184" spans="1:6" x14ac:dyDescent="0.2">
      <c r="A184" s="17"/>
      <c r="B184" s="17"/>
      <c r="C184" s="17"/>
      <c r="D184" s="17"/>
      <c r="E184" s="18"/>
      <c r="F184" s="19"/>
    </row>
    <row r="185" spans="1:6" x14ac:dyDescent="0.2">
      <c r="A185" s="17"/>
      <c r="B185" s="17"/>
      <c r="C185" s="17"/>
      <c r="D185" s="17"/>
      <c r="E185" s="18"/>
      <c r="F185" s="19"/>
    </row>
    <row r="186" spans="1:6" x14ac:dyDescent="0.2">
      <c r="A186" s="17"/>
      <c r="B186" s="17"/>
      <c r="C186" s="17"/>
      <c r="D186" s="17"/>
      <c r="E186" s="18"/>
      <c r="F186" s="19"/>
    </row>
    <row r="187" spans="1:6" x14ac:dyDescent="0.2">
      <c r="A187" s="17"/>
      <c r="B187" s="17"/>
      <c r="C187" s="17"/>
      <c r="D187" s="17"/>
      <c r="E187" s="18"/>
      <c r="F187" s="19"/>
    </row>
    <row r="188" spans="1:6" x14ac:dyDescent="0.2">
      <c r="A188" s="17"/>
      <c r="B188" s="17"/>
      <c r="C188" s="17"/>
      <c r="D188" s="17"/>
      <c r="E188" s="18"/>
      <c r="F188" s="19"/>
    </row>
    <row r="189" spans="1:6" x14ac:dyDescent="0.2">
      <c r="A189" s="17"/>
      <c r="B189" s="17"/>
      <c r="C189" s="17"/>
      <c r="D189" s="17"/>
      <c r="E189" s="18"/>
      <c r="F189" s="19"/>
    </row>
    <row r="190" spans="1:6" x14ac:dyDescent="0.2">
      <c r="A190" s="17"/>
      <c r="B190" s="17"/>
      <c r="C190" s="17"/>
      <c r="D190" s="17"/>
      <c r="E190" s="18"/>
      <c r="F190" s="19"/>
    </row>
    <row r="191" spans="1:6" x14ac:dyDescent="0.2">
      <c r="A191" s="17"/>
      <c r="B191" s="17"/>
      <c r="C191" s="17"/>
      <c r="D191" s="17"/>
      <c r="E191" s="18"/>
      <c r="F191" s="19"/>
    </row>
    <row r="192" spans="1:6" x14ac:dyDescent="0.2">
      <c r="A192" s="17"/>
      <c r="B192" s="17"/>
      <c r="C192" s="17"/>
      <c r="D192" s="17"/>
      <c r="E192" s="18"/>
      <c r="F192" s="19"/>
    </row>
    <row r="193" spans="1:6" x14ac:dyDescent="0.2">
      <c r="A193" s="17"/>
      <c r="B193" s="17"/>
      <c r="C193" s="17"/>
      <c r="D193" s="17"/>
      <c r="E193" s="18"/>
      <c r="F193" s="19"/>
    </row>
    <row r="194" spans="1:6" x14ac:dyDescent="0.2">
      <c r="A194" s="17"/>
      <c r="B194" s="17"/>
      <c r="C194" s="17"/>
      <c r="D194" s="17"/>
      <c r="E194" s="18"/>
      <c r="F194" s="19"/>
    </row>
    <row r="195" spans="1:6" x14ac:dyDescent="0.2">
      <c r="A195" s="17"/>
      <c r="B195" s="17"/>
      <c r="C195" s="17"/>
      <c r="D195" s="17"/>
      <c r="E195" s="18"/>
      <c r="F195" s="19"/>
    </row>
    <row r="196" spans="1:6" x14ac:dyDescent="0.2">
      <c r="A196" s="17"/>
      <c r="B196" s="17"/>
      <c r="C196" s="17"/>
      <c r="D196" s="17"/>
      <c r="E196" s="18"/>
      <c r="F196" s="19"/>
    </row>
    <row r="197" spans="1:6" x14ac:dyDescent="0.2">
      <c r="A197" s="17"/>
      <c r="B197" s="17"/>
      <c r="C197" s="17"/>
      <c r="D197" s="17"/>
      <c r="E197" s="18"/>
      <c r="F197" s="19"/>
    </row>
    <row r="198" spans="1:6" x14ac:dyDescent="0.2">
      <c r="A198" s="17"/>
      <c r="B198" s="17"/>
      <c r="C198" s="17"/>
      <c r="D198" s="17"/>
      <c r="E198" s="18"/>
      <c r="F198" s="19"/>
    </row>
    <row r="199" spans="1:6" x14ac:dyDescent="0.2">
      <c r="A199" s="17"/>
      <c r="B199" s="17"/>
      <c r="C199" s="17"/>
      <c r="D199" s="17"/>
      <c r="E199" s="18"/>
      <c r="F199" s="19"/>
    </row>
    <row r="200" spans="1:6" x14ac:dyDescent="0.2">
      <c r="A200" s="17"/>
      <c r="B200" s="17"/>
      <c r="C200" s="17"/>
      <c r="D200" s="17"/>
      <c r="E200" s="18"/>
      <c r="F200" s="19"/>
    </row>
    <row r="201" spans="1:6" x14ac:dyDescent="0.2">
      <c r="A201" s="17"/>
      <c r="B201" s="17"/>
      <c r="C201" s="17"/>
      <c r="D201" s="17"/>
      <c r="E201" s="18"/>
      <c r="F201" s="19"/>
    </row>
    <row r="202" spans="1:6" x14ac:dyDescent="0.2">
      <c r="A202" s="17"/>
      <c r="B202" s="17"/>
      <c r="C202" s="17"/>
      <c r="D202" s="17"/>
      <c r="E202" s="18"/>
      <c r="F202" s="19"/>
    </row>
    <row r="203" spans="1:6" x14ac:dyDescent="0.2">
      <c r="A203" s="17"/>
      <c r="B203" s="17"/>
      <c r="C203" s="17"/>
      <c r="D203" s="17"/>
      <c r="E203" s="18"/>
      <c r="F203" s="19"/>
    </row>
    <row r="204" spans="1:6" x14ac:dyDescent="0.2">
      <c r="A204" s="17"/>
      <c r="B204" s="17"/>
      <c r="C204" s="17"/>
      <c r="D204" s="17"/>
      <c r="E204" s="18"/>
      <c r="F204" s="19"/>
    </row>
    <row r="205" spans="1:6" x14ac:dyDescent="0.2">
      <c r="A205" s="17"/>
      <c r="B205" s="17"/>
      <c r="C205" s="17"/>
      <c r="D205" s="17"/>
      <c r="E205" s="18"/>
      <c r="F205" s="19"/>
    </row>
    <row r="206" spans="1:6" x14ac:dyDescent="0.2">
      <c r="A206" s="17"/>
      <c r="B206" s="17"/>
      <c r="C206" s="17"/>
      <c r="D206" s="17"/>
      <c r="E206" s="18"/>
      <c r="F206" s="19"/>
    </row>
    <row r="207" spans="1:6" x14ac:dyDescent="0.2">
      <c r="A207" s="17"/>
      <c r="B207" s="17"/>
      <c r="C207" s="17"/>
      <c r="D207" s="17"/>
      <c r="E207" s="18"/>
      <c r="F207" s="19"/>
    </row>
    <row r="208" spans="1:6" x14ac:dyDescent="0.2">
      <c r="A208" s="17"/>
      <c r="B208" s="17"/>
      <c r="C208" s="17"/>
      <c r="D208" s="17"/>
      <c r="E208" s="18"/>
      <c r="F208" s="19"/>
    </row>
    <row r="209" spans="1:6" x14ac:dyDescent="0.2">
      <c r="A209" s="17"/>
      <c r="B209" s="17"/>
      <c r="C209" s="17"/>
      <c r="D209" s="17"/>
      <c r="E209" s="18"/>
      <c r="F209" s="19"/>
    </row>
    <row r="210" spans="1:6" x14ac:dyDescent="0.2">
      <c r="A210" s="17"/>
      <c r="B210" s="17"/>
      <c r="C210" s="17"/>
      <c r="D210" s="17"/>
      <c r="E210" s="18"/>
      <c r="F210" s="19"/>
    </row>
    <row r="211" spans="1:6" x14ac:dyDescent="0.2">
      <c r="A211" s="17"/>
      <c r="B211" s="17"/>
      <c r="C211" s="17"/>
      <c r="D211" s="17"/>
      <c r="E211" s="18"/>
      <c r="F211" s="19"/>
    </row>
    <row r="212" spans="1:6" x14ac:dyDescent="0.2">
      <c r="A212" s="17"/>
      <c r="B212" s="17"/>
      <c r="C212" s="17"/>
      <c r="D212" s="17"/>
      <c r="E212" s="18"/>
      <c r="F212" s="19"/>
    </row>
    <row r="213" spans="1:6" x14ac:dyDescent="0.2">
      <c r="A213" s="17"/>
      <c r="B213" s="17"/>
      <c r="C213" s="17"/>
      <c r="D213" s="17"/>
      <c r="E213" s="18"/>
      <c r="F213" s="19"/>
    </row>
    <row r="214" spans="1:6" x14ac:dyDescent="0.2">
      <c r="A214" s="17"/>
      <c r="B214" s="17"/>
      <c r="C214" s="17"/>
      <c r="D214" s="17"/>
      <c r="E214" s="18"/>
      <c r="F214" s="19"/>
    </row>
    <row r="215" spans="1:6" x14ac:dyDescent="0.2">
      <c r="A215" s="17"/>
      <c r="B215" s="17"/>
      <c r="C215" s="17"/>
      <c r="D215" s="17"/>
      <c r="E215" s="18"/>
      <c r="F215" s="19"/>
    </row>
    <row r="216" spans="1:6" x14ac:dyDescent="0.2">
      <c r="A216" s="17"/>
      <c r="B216" s="17"/>
      <c r="C216" s="17"/>
      <c r="D216" s="17"/>
      <c r="E216" s="18"/>
      <c r="F216" s="19"/>
    </row>
    <row r="217" spans="1:6" x14ac:dyDescent="0.2">
      <c r="A217" s="17"/>
      <c r="B217" s="17"/>
      <c r="C217" s="17"/>
      <c r="D217" s="17"/>
      <c r="E217" s="18"/>
      <c r="F217" s="19"/>
    </row>
    <row r="218" spans="1:6" x14ac:dyDescent="0.2">
      <c r="A218" s="17"/>
      <c r="B218" s="17"/>
      <c r="C218" s="17"/>
      <c r="D218" s="17"/>
      <c r="E218" s="18"/>
      <c r="F218" s="19"/>
    </row>
    <row r="219" spans="1:6" x14ac:dyDescent="0.2">
      <c r="A219" s="17"/>
      <c r="B219" s="17"/>
      <c r="C219" s="17"/>
      <c r="D219" s="17"/>
      <c r="E219" s="18"/>
      <c r="F219" s="19"/>
    </row>
    <row r="220" spans="1:6" x14ac:dyDescent="0.2">
      <c r="A220" s="17"/>
      <c r="B220" s="17"/>
      <c r="C220" s="17"/>
      <c r="D220" s="17"/>
      <c r="E220" s="18"/>
      <c r="F220" s="19"/>
    </row>
    <row r="221" spans="1:6" x14ac:dyDescent="0.2">
      <c r="A221" s="17"/>
      <c r="B221" s="17"/>
      <c r="C221" s="17"/>
      <c r="D221" s="17"/>
      <c r="E221" s="18"/>
      <c r="F221" s="19"/>
    </row>
    <row r="222" spans="1:6" x14ac:dyDescent="0.2">
      <c r="A222" s="17"/>
      <c r="B222" s="17"/>
      <c r="C222" s="17"/>
      <c r="D222" s="17"/>
      <c r="E222" s="18"/>
      <c r="F222" s="19"/>
    </row>
    <row r="223" spans="1:6" x14ac:dyDescent="0.2">
      <c r="A223" s="17"/>
      <c r="B223" s="17"/>
      <c r="C223" s="17"/>
      <c r="D223" s="17"/>
      <c r="E223" s="18"/>
      <c r="F223" s="19"/>
    </row>
    <row r="224" spans="1:6" x14ac:dyDescent="0.2">
      <c r="A224" s="17"/>
      <c r="B224" s="17"/>
      <c r="C224" s="17"/>
      <c r="D224" s="17"/>
      <c r="E224" s="18"/>
      <c r="F224" s="19"/>
    </row>
    <row r="225" spans="1:6" x14ac:dyDescent="0.2">
      <c r="A225" s="17"/>
      <c r="B225" s="17"/>
      <c r="C225" s="17"/>
      <c r="D225" s="17"/>
      <c r="E225" s="18"/>
      <c r="F225" s="19"/>
    </row>
    <row r="226" spans="1:6" x14ac:dyDescent="0.2">
      <c r="A226" s="17"/>
      <c r="B226" s="17"/>
      <c r="C226" s="17"/>
      <c r="D226" s="17"/>
      <c r="E226" s="18"/>
      <c r="F226" s="19"/>
    </row>
    <row r="227" spans="1:6" x14ac:dyDescent="0.2">
      <c r="A227" s="17"/>
      <c r="B227" s="17"/>
      <c r="C227" s="17"/>
      <c r="D227" s="17"/>
      <c r="E227" s="18"/>
      <c r="F227" s="19"/>
    </row>
    <row r="228" spans="1:6" x14ac:dyDescent="0.2">
      <c r="A228" s="17"/>
      <c r="B228" s="17"/>
      <c r="C228" s="17"/>
      <c r="D228" s="17"/>
      <c r="E228" s="18"/>
      <c r="F228" s="19"/>
    </row>
    <row r="229" spans="1:6" x14ac:dyDescent="0.2">
      <c r="A229" s="17"/>
      <c r="B229" s="17"/>
      <c r="C229" s="17"/>
      <c r="D229" s="17"/>
      <c r="E229" s="18"/>
      <c r="F229" s="19"/>
    </row>
    <row r="230" spans="1:6" x14ac:dyDescent="0.2">
      <c r="A230" s="17"/>
      <c r="B230" s="17"/>
      <c r="C230" s="17"/>
      <c r="D230" s="17"/>
      <c r="E230" s="18"/>
      <c r="F230" s="19"/>
    </row>
    <row r="231" spans="1:6" x14ac:dyDescent="0.2">
      <c r="A231" s="17"/>
      <c r="B231" s="17"/>
      <c r="C231" s="17"/>
      <c r="D231" s="17"/>
      <c r="E231" s="18"/>
      <c r="F231" s="19"/>
    </row>
    <row r="232" spans="1:6" x14ac:dyDescent="0.2">
      <c r="A232" s="17"/>
      <c r="B232" s="17"/>
      <c r="C232" s="17"/>
      <c r="D232" s="17"/>
      <c r="E232" s="18"/>
      <c r="F232" s="19"/>
    </row>
    <row r="233" spans="1:6" x14ac:dyDescent="0.2">
      <c r="A233" s="17"/>
      <c r="B233" s="17"/>
      <c r="C233" s="17"/>
      <c r="D233" s="17"/>
      <c r="E233" s="18"/>
      <c r="F233" s="19"/>
    </row>
    <row r="234" spans="1:6" x14ac:dyDescent="0.2">
      <c r="A234" s="17"/>
      <c r="B234" s="17"/>
      <c r="C234" s="17"/>
      <c r="D234" s="17"/>
      <c r="E234" s="18"/>
      <c r="F234" s="19"/>
    </row>
    <row r="235" spans="1:6" x14ac:dyDescent="0.2">
      <c r="A235" s="17"/>
      <c r="B235" s="17"/>
      <c r="C235" s="17"/>
      <c r="D235" s="17"/>
      <c r="E235" s="18"/>
      <c r="F235" s="19"/>
    </row>
    <row r="236" spans="1:6" x14ac:dyDescent="0.2">
      <c r="A236" s="17"/>
      <c r="B236" s="17"/>
      <c r="C236" s="17"/>
      <c r="D236" s="17"/>
      <c r="E236" s="18"/>
      <c r="F236" s="19"/>
    </row>
    <row r="237" spans="1:6" x14ac:dyDescent="0.2">
      <c r="A237" s="17"/>
      <c r="B237" s="17"/>
      <c r="C237" s="17"/>
      <c r="D237" s="17"/>
      <c r="E237" s="18"/>
      <c r="F237" s="19"/>
    </row>
    <row r="238" spans="1:6" x14ac:dyDescent="0.2">
      <c r="A238" s="17"/>
      <c r="B238" s="17"/>
      <c r="C238" s="17"/>
      <c r="D238" s="17"/>
      <c r="E238" s="18"/>
      <c r="F238" s="19"/>
    </row>
    <row r="239" spans="1:6" x14ac:dyDescent="0.2">
      <c r="A239" s="17"/>
      <c r="B239" s="17"/>
      <c r="C239" s="17"/>
      <c r="D239" s="17"/>
      <c r="E239" s="18"/>
      <c r="F239" s="19"/>
    </row>
    <row r="240" spans="1:6" x14ac:dyDescent="0.2">
      <c r="A240" s="17"/>
      <c r="B240" s="17"/>
      <c r="C240" s="17"/>
      <c r="D240" s="17"/>
      <c r="E240" s="18"/>
      <c r="F240" s="19"/>
    </row>
    <row r="241" spans="1:6" x14ac:dyDescent="0.2">
      <c r="A241" s="17"/>
      <c r="B241" s="17"/>
      <c r="C241" s="17"/>
      <c r="D241" s="17"/>
      <c r="E241" s="18"/>
      <c r="F241" s="19"/>
    </row>
    <row r="242" spans="1:6" x14ac:dyDescent="0.2">
      <c r="A242" s="17"/>
      <c r="B242" s="17"/>
      <c r="C242" s="17"/>
      <c r="D242" s="17"/>
      <c r="E242" s="18"/>
      <c r="F242" s="19"/>
    </row>
    <row r="243" spans="1:6" x14ac:dyDescent="0.2">
      <c r="A243" s="17"/>
      <c r="B243" s="17"/>
      <c r="C243" s="17"/>
      <c r="D243" s="17"/>
      <c r="E243" s="18"/>
      <c r="F243" s="19"/>
    </row>
    <row r="244" spans="1:6" x14ac:dyDescent="0.2">
      <c r="A244" s="17"/>
      <c r="B244" s="17"/>
      <c r="C244" s="17"/>
      <c r="D244" s="17"/>
      <c r="E244" s="18"/>
      <c r="F244" s="19"/>
    </row>
    <row r="245" spans="1:6" x14ac:dyDescent="0.2">
      <c r="A245" s="17"/>
      <c r="B245" s="17"/>
      <c r="C245" s="17"/>
      <c r="D245" s="17"/>
      <c r="E245" s="18"/>
      <c r="F245" s="19"/>
    </row>
    <row r="246" spans="1:6" x14ac:dyDescent="0.2">
      <c r="A246" s="17"/>
      <c r="B246" s="17"/>
      <c r="C246" s="17"/>
      <c r="D246" s="17"/>
      <c r="E246" s="18"/>
      <c r="F246" s="19"/>
    </row>
    <row r="247" spans="1:6" x14ac:dyDescent="0.2">
      <c r="A247" s="17"/>
      <c r="B247" s="17"/>
      <c r="C247" s="17"/>
      <c r="D247" s="17"/>
      <c r="E247" s="18"/>
      <c r="F247" s="19"/>
    </row>
    <row r="248" spans="1:6" x14ac:dyDescent="0.2">
      <c r="A248" s="17"/>
      <c r="B248" s="17"/>
      <c r="C248" s="17"/>
      <c r="D248" s="17"/>
      <c r="E248" s="18"/>
      <c r="F248" s="19"/>
    </row>
    <row r="249" spans="1:6" x14ac:dyDescent="0.2">
      <c r="A249" s="17"/>
      <c r="B249" s="17"/>
      <c r="C249" s="17"/>
      <c r="D249" s="17"/>
      <c r="E249" s="18"/>
      <c r="F249" s="19"/>
    </row>
    <row r="250" spans="1:6" x14ac:dyDescent="0.2">
      <c r="A250" s="17"/>
      <c r="B250" s="17"/>
      <c r="C250" s="17"/>
      <c r="D250" s="17"/>
      <c r="E250" s="18"/>
      <c r="F250" s="19"/>
    </row>
    <row r="251" spans="1:6" x14ac:dyDescent="0.2">
      <c r="A251" s="17"/>
      <c r="B251" s="17"/>
      <c r="C251" s="17"/>
      <c r="D251" s="17"/>
      <c r="E251" s="18"/>
      <c r="F251" s="19"/>
    </row>
    <row r="252" spans="1:6" x14ac:dyDescent="0.2">
      <c r="A252" s="17"/>
      <c r="B252" s="17"/>
      <c r="C252" s="17"/>
      <c r="D252" s="17"/>
      <c r="E252" s="18"/>
      <c r="F252" s="19"/>
    </row>
    <row r="253" spans="1:6" x14ac:dyDescent="0.2">
      <c r="A253" s="17"/>
      <c r="B253" s="17"/>
      <c r="C253" s="17"/>
      <c r="D253" s="17"/>
      <c r="E253" s="18"/>
      <c r="F253" s="19"/>
    </row>
    <row r="254" spans="1:6" x14ac:dyDescent="0.2">
      <c r="A254" s="17"/>
      <c r="B254" s="17"/>
      <c r="C254" s="17"/>
      <c r="D254" s="17"/>
      <c r="E254" s="18"/>
      <c r="F254" s="19"/>
    </row>
    <row r="255" spans="1:6" x14ac:dyDescent="0.2">
      <c r="A255" s="17"/>
      <c r="B255" s="17"/>
      <c r="C255" s="17"/>
      <c r="D255" s="17"/>
      <c r="E255" s="18"/>
      <c r="F255" s="19"/>
    </row>
    <row r="256" spans="1:6" x14ac:dyDescent="0.2">
      <c r="A256" s="17"/>
      <c r="B256" s="17"/>
      <c r="C256" s="17"/>
      <c r="D256" s="17"/>
      <c r="E256" s="18"/>
      <c r="F256" s="19"/>
    </row>
    <row r="257" spans="1:6" x14ac:dyDescent="0.2">
      <c r="A257" s="17"/>
      <c r="B257" s="17"/>
      <c r="C257" s="17"/>
      <c r="D257" s="17"/>
      <c r="E257" s="18"/>
      <c r="F257" s="19"/>
    </row>
    <row r="258" spans="1:6" x14ac:dyDescent="0.2">
      <c r="A258" s="17"/>
      <c r="B258" s="17"/>
      <c r="C258" s="17"/>
      <c r="D258" s="17"/>
      <c r="E258" s="18"/>
      <c r="F258" s="19"/>
    </row>
    <row r="259" spans="1:6" x14ac:dyDescent="0.2">
      <c r="A259" s="17"/>
      <c r="B259" s="17"/>
      <c r="C259" s="17"/>
      <c r="D259" s="17"/>
      <c r="E259" s="18"/>
      <c r="F259" s="19"/>
    </row>
    <row r="260" spans="1:6" x14ac:dyDescent="0.2">
      <c r="A260" s="17"/>
      <c r="B260" s="17"/>
      <c r="C260" s="17"/>
      <c r="D260" s="17"/>
      <c r="E260" s="18"/>
      <c r="F260" s="19"/>
    </row>
    <row r="261" spans="1:6" x14ac:dyDescent="0.2">
      <c r="A261" s="17"/>
      <c r="B261" s="17"/>
      <c r="C261" s="17"/>
      <c r="D261" s="17"/>
      <c r="E261" s="18"/>
      <c r="F261" s="19"/>
    </row>
    <row r="262" spans="1:6" x14ac:dyDescent="0.2">
      <c r="A262" s="17"/>
      <c r="B262" s="17"/>
      <c r="C262" s="17"/>
      <c r="D262" s="17"/>
      <c r="E262" s="18"/>
      <c r="F262" s="19"/>
    </row>
    <row r="263" spans="1:6" x14ac:dyDescent="0.2">
      <c r="A263" s="17"/>
      <c r="B263" s="17"/>
      <c r="C263" s="17"/>
      <c r="D263" s="17"/>
      <c r="E263" s="18"/>
      <c r="F263" s="19"/>
    </row>
    <row r="264" spans="1:6" x14ac:dyDescent="0.2">
      <c r="A264" s="17"/>
      <c r="B264" s="17"/>
      <c r="C264" s="17"/>
      <c r="D264" s="17"/>
      <c r="E264" s="18"/>
      <c r="F264" s="19"/>
    </row>
    <row r="265" spans="1:6" x14ac:dyDescent="0.2">
      <c r="A265" s="17"/>
      <c r="B265" s="17"/>
      <c r="C265" s="17"/>
      <c r="D265" s="17"/>
      <c r="E265" s="18"/>
      <c r="F265" s="19"/>
    </row>
    <row r="266" spans="1:6" x14ac:dyDescent="0.2">
      <c r="A266" s="17"/>
      <c r="B266" s="17"/>
      <c r="C266" s="17"/>
      <c r="D266" s="17"/>
      <c r="E266" s="18"/>
      <c r="F266" s="19"/>
    </row>
    <row r="267" spans="1:6" x14ac:dyDescent="0.2">
      <c r="A267" s="17"/>
      <c r="B267" s="17"/>
      <c r="C267" s="17"/>
      <c r="D267" s="17"/>
      <c r="E267" s="18"/>
      <c r="F267" s="19"/>
    </row>
    <row r="268" spans="1:6" x14ac:dyDescent="0.2">
      <c r="A268" s="17"/>
      <c r="B268" s="17"/>
      <c r="C268" s="17"/>
      <c r="D268" s="17"/>
      <c r="E268" s="18"/>
      <c r="F268" s="19"/>
    </row>
    <row r="269" spans="1:6" x14ac:dyDescent="0.2">
      <c r="A269" s="17"/>
      <c r="B269" s="17"/>
      <c r="C269" s="17"/>
      <c r="D269" s="17"/>
      <c r="E269" s="18"/>
      <c r="F269" s="19"/>
    </row>
    <row r="270" spans="1:6" x14ac:dyDescent="0.2">
      <c r="A270" s="17"/>
      <c r="B270" s="17"/>
      <c r="C270" s="17"/>
      <c r="D270" s="17"/>
      <c r="E270" s="18"/>
      <c r="F270" s="19"/>
    </row>
    <row r="271" spans="1:6" x14ac:dyDescent="0.2">
      <c r="A271" s="17"/>
      <c r="B271" s="17"/>
      <c r="C271" s="17"/>
      <c r="D271" s="17"/>
      <c r="E271" s="18"/>
      <c r="F271" s="19"/>
    </row>
    <row r="272" spans="1:6" x14ac:dyDescent="0.2">
      <c r="A272" s="17"/>
      <c r="B272" s="17"/>
      <c r="C272" s="17"/>
      <c r="D272" s="17"/>
      <c r="E272" s="18"/>
      <c r="F272" s="19"/>
    </row>
    <row r="273" spans="1:6" x14ac:dyDescent="0.2">
      <c r="A273" s="17"/>
      <c r="B273" s="17"/>
      <c r="C273" s="17"/>
      <c r="D273" s="17"/>
      <c r="E273" s="18"/>
      <c r="F273" s="19"/>
    </row>
    <row r="274" spans="1:6" x14ac:dyDescent="0.2">
      <c r="A274" s="17"/>
      <c r="B274" s="17"/>
      <c r="C274" s="17"/>
      <c r="D274" s="17"/>
      <c r="E274" s="18"/>
      <c r="F274" s="19"/>
    </row>
    <row r="275" spans="1:6" x14ac:dyDescent="0.2">
      <c r="A275" s="17"/>
      <c r="B275" s="17"/>
      <c r="C275" s="17"/>
      <c r="D275" s="17"/>
      <c r="E275" s="18"/>
      <c r="F275" s="19"/>
    </row>
    <row r="276" spans="1:6" x14ac:dyDescent="0.2">
      <c r="A276" s="17"/>
      <c r="B276" s="17"/>
      <c r="C276" s="17"/>
      <c r="D276" s="17"/>
      <c r="E276" s="18"/>
      <c r="F276" s="19"/>
    </row>
    <row r="277" spans="1:6" x14ac:dyDescent="0.2">
      <c r="A277" s="17"/>
      <c r="B277" s="17"/>
      <c r="C277" s="17"/>
      <c r="D277" s="17"/>
      <c r="E277" s="18"/>
      <c r="F277" s="19"/>
    </row>
    <row r="278" spans="1:6" x14ac:dyDescent="0.2">
      <c r="A278" s="17"/>
      <c r="B278" s="17"/>
      <c r="C278" s="17"/>
      <c r="D278" s="17"/>
      <c r="E278" s="18"/>
      <c r="F278" s="19"/>
    </row>
    <row r="279" spans="1:6" x14ac:dyDescent="0.2">
      <c r="A279" s="17"/>
      <c r="B279" s="17"/>
      <c r="C279" s="17"/>
      <c r="D279" s="17"/>
      <c r="E279" s="18"/>
      <c r="F279" s="19"/>
    </row>
    <row r="280" spans="1:6" x14ac:dyDescent="0.2">
      <c r="A280" s="17"/>
      <c r="B280" s="17"/>
      <c r="C280" s="17"/>
      <c r="D280" s="17"/>
      <c r="E280" s="18"/>
      <c r="F280" s="19"/>
    </row>
    <row r="281" spans="1:6" x14ac:dyDescent="0.2">
      <c r="A281" s="17"/>
      <c r="B281" s="17"/>
      <c r="C281" s="17"/>
      <c r="D281" s="17"/>
      <c r="E281" s="18"/>
      <c r="F281" s="19"/>
    </row>
    <row r="282" spans="1:6" x14ac:dyDescent="0.2">
      <c r="A282" s="17"/>
      <c r="B282" s="17"/>
      <c r="C282" s="17"/>
      <c r="D282" s="17"/>
      <c r="E282" s="18"/>
      <c r="F282" s="19"/>
    </row>
    <row r="283" spans="1:6" x14ac:dyDescent="0.2">
      <c r="A283" s="17"/>
      <c r="B283" s="17"/>
      <c r="C283" s="17"/>
      <c r="D283" s="17"/>
      <c r="E283" s="18"/>
      <c r="F283" s="19"/>
    </row>
    <row r="284" spans="1:6" x14ac:dyDescent="0.2">
      <c r="A284" s="17"/>
      <c r="B284" s="17"/>
      <c r="C284" s="17"/>
      <c r="D284" s="17"/>
      <c r="E284" s="18"/>
      <c r="F284" s="19"/>
    </row>
    <row r="285" spans="1:6" x14ac:dyDescent="0.2">
      <c r="A285" s="17"/>
      <c r="B285" s="17"/>
      <c r="C285" s="17"/>
      <c r="D285" s="17"/>
      <c r="E285" s="18"/>
      <c r="F285" s="19"/>
    </row>
    <row r="286" spans="1:6" x14ac:dyDescent="0.2">
      <c r="A286" s="17"/>
      <c r="B286" s="17"/>
      <c r="C286" s="17"/>
      <c r="D286" s="17"/>
      <c r="E286" s="18"/>
      <c r="F286" s="19"/>
    </row>
    <row r="287" spans="1:6" x14ac:dyDescent="0.2">
      <c r="A287" s="17"/>
      <c r="B287" s="17"/>
      <c r="C287" s="17"/>
      <c r="D287" s="17"/>
      <c r="E287" s="18"/>
      <c r="F287" s="19"/>
    </row>
    <row r="288" spans="1:6" x14ac:dyDescent="0.2">
      <c r="A288" s="17"/>
      <c r="B288" s="17"/>
      <c r="C288" s="17"/>
      <c r="D288" s="17"/>
      <c r="E288" s="18"/>
      <c r="F288" s="19"/>
    </row>
    <row r="289" spans="1:6" x14ac:dyDescent="0.2">
      <c r="A289" s="17"/>
      <c r="B289" s="17"/>
      <c r="C289" s="17"/>
      <c r="D289" s="17"/>
      <c r="E289" s="18"/>
      <c r="F289" s="19"/>
    </row>
    <row r="290" spans="1:6" x14ac:dyDescent="0.2">
      <c r="A290" s="17"/>
      <c r="B290" s="17"/>
      <c r="C290" s="17"/>
      <c r="D290" s="17"/>
      <c r="E290" s="18"/>
      <c r="F290" s="19"/>
    </row>
    <row r="291" spans="1:6" x14ac:dyDescent="0.2">
      <c r="A291" s="17"/>
      <c r="B291" s="17"/>
      <c r="C291" s="17"/>
      <c r="D291" s="17"/>
      <c r="E291" s="18"/>
      <c r="F291" s="19"/>
    </row>
    <row r="292" spans="1:6" x14ac:dyDescent="0.2">
      <c r="A292" s="17"/>
      <c r="B292" s="17"/>
      <c r="C292" s="17"/>
      <c r="D292" s="17"/>
      <c r="E292" s="18"/>
      <c r="F292" s="19"/>
    </row>
    <row r="293" spans="1:6" x14ac:dyDescent="0.2">
      <c r="A293" s="17"/>
      <c r="B293" s="17"/>
      <c r="C293" s="17"/>
      <c r="D293" s="17"/>
      <c r="E293" s="18"/>
      <c r="F293" s="19"/>
    </row>
    <row r="294" spans="1:6" x14ac:dyDescent="0.2">
      <c r="A294" s="17"/>
      <c r="B294" s="17"/>
      <c r="C294" s="17"/>
      <c r="D294" s="17"/>
      <c r="E294" s="18"/>
      <c r="F294" s="19"/>
    </row>
    <row r="295" spans="1:6" x14ac:dyDescent="0.2">
      <c r="A295" s="17"/>
      <c r="B295" s="17"/>
      <c r="C295" s="17"/>
      <c r="D295" s="17"/>
      <c r="E295" s="18"/>
      <c r="F295" s="19"/>
    </row>
    <row r="296" spans="1:6" x14ac:dyDescent="0.2">
      <c r="A296" s="17"/>
      <c r="B296" s="17"/>
      <c r="C296" s="17"/>
      <c r="D296" s="17"/>
      <c r="E296" s="18"/>
      <c r="F296" s="19"/>
    </row>
    <row r="297" spans="1:6" x14ac:dyDescent="0.2">
      <c r="A297" s="17"/>
      <c r="B297" s="17"/>
      <c r="C297" s="17"/>
      <c r="D297" s="17"/>
      <c r="E297" s="18"/>
      <c r="F297" s="19"/>
    </row>
    <row r="298" spans="1:6" x14ac:dyDescent="0.2">
      <c r="A298" s="17"/>
      <c r="B298" s="17"/>
      <c r="C298" s="17"/>
      <c r="D298" s="17"/>
      <c r="E298" s="18"/>
      <c r="F298" s="19"/>
    </row>
    <row r="299" spans="1:6" x14ac:dyDescent="0.2">
      <c r="A299" s="17"/>
      <c r="B299" s="17"/>
      <c r="C299" s="17"/>
      <c r="D299" s="17"/>
      <c r="E299" s="18"/>
      <c r="F299" s="19"/>
    </row>
    <row r="300" spans="1:6" x14ac:dyDescent="0.2">
      <c r="A300" s="17"/>
      <c r="B300" s="17"/>
      <c r="C300" s="17"/>
      <c r="D300" s="17"/>
      <c r="E300" s="18"/>
      <c r="F300" s="19"/>
    </row>
    <row r="301" spans="1:6" x14ac:dyDescent="0.2">
      <c r="A301" s="17"/>
      <c r="B301" s="17"/>
      <c r="C301" s="17"/>
      <c r="D301" s="17"/>
      <c r="E301" s="18"/>
      <c r="F301" s="19"/>
    </row>
    <row r="302" spans="1:6" x14ac:dyDescent="0.2">
      <c r="A302" s="17"/>
      <c r="B302" s="17"/>
      <c r="C302" s="17"/>
      <c r="D302" s="17"/>
      <c r="E302" s="18"/>
      <c r="F302" s="19"/>
    </row>
    <row r="303" spans="1:6" x14ac:dyDescent="0.2">
      <c r="A303" s="17"/>
      <c r="B303" s="17"/>
      <c r="C303" s="17"/>
      <c r="D303" s="17"/>
      <c r="E303" s="18"/>
      <c r="F303" s="19"/>
    </row>
    <row r="304" spans="1:6" x14ac:dyDescent="0.2">
      <c r="A304" s="17"/>
      <c r="B304" s="17"/>
      <c r="C304" s="17"/>
      <c r="D304" s="17"/>
      <c r="E304" s="18"/>
      <c r="F304" s="19"/>
    </row>
    <row r="305" spans="1:6" x14ac:dyDescent="0.2">
      <c r="A305" s="17"/>
      <c r="B305" s="17"/>
      <c r="C305" s="17"/>
      <c r="D305" s="17"/>
      <c r="E305" s="18"/>
      <c r="F305" s="19"/>
    </row>
    <row r="306" spans="1:6" x14ac:dyDescent="0.2">
      <c r="A306" s="17"/>
      <c r="B306" s="17"/>
      <c r="C306" s="17"/>
      <c r="D306" s="17"/>
      <c r="E306" s="18"/>
      <c r="F306" s="19"/>
    </row>
    <row r="307" spans="1:6" x14ac:dyDescent="0.2">
      <c r="A307" s="17"/>
      <c r="B307" s="17"/>
      <c r="C307" s="17"/>
      <c r="D307" s="17"/>
      <c r="E307" s="18"/>
      <c r="F307" s="19"/>
    </row>
    <row r="308" spans="1:6" x14ac:dyDescent="0.2">
      <c r="A308" s="17"/>
      <c r="B308" s="17"/>
      <c r="C308" s="17"/>
      <c r="D308" s="17"/>
      <c r="E308" s="18"/>
      <c r="F308" s="19"/>
    </row>
    <row r="309" spans="1:6" x14ac:dyDescent="0.2">
      <c r="A309" s="17"/>
      <c r="B309" s="17"/>
      <c r="C309" s="17"/>
      <c r="D309" s="17"/>
      <c r="E309" s="18"/>
      <c r="F309" s="19"/>
    </row>
    <row r="310" spans="1:6" x14ac:dyDescent="0.2">
      <c r="A310" s="17"/>
      <c r="B310" s="17"/>
      <c r="C310" s="17"/>
      <c r="D310" s="17"/>
      <c r="E310" s="18"/>
      <c r="F310" s="19"/>
    </row>
    <row r="311" spans="1:6" x14ac:dyDescent="0.2">
      <c r="A311" s="17"/>
      <c r="B311" s="17"/>
      <c r="C311" s="17"/>
      <c r="D311" s="17"/>
      <c r="E311" s="18"/>
      <c r="F311" s="19"/>
    </row>
    <row r="312" spans="1:6" x14ac:dyDescent="0.2">
      <c r="A312" s="17"/>
      <c r="B312" s="17"/>
      <c r="C312" s="17"/>
      <c r="D312" s="17"/>
      <c r="E312" s="18"/>
      <c r="F312" s="19"/>
    </row>
    <row r="313" spans="1:6" x14ac:dyDescent="0.2">
      <c r="A313" s="17"/>
      <c r="B313" s="17"/>
      <c r="C313" s="17"/>
      <c r="D313" s="17"/>
      <c r="E313" s="18"/>
      <c r="F313" s="19"/>
    </row>
    <row r="314" spans="1:6" x14ac:dyDescent="0.2">
      <c r="A314" s="17"/>
      <c r="B314" s="17"/>
      <c r="C314" s="17"/>
      <c r="D314" s="17"/>
      <c r="E314" s="18"/>
      <c r="F314" s="19"/>
    </row>
    <row r="315" spans="1:6" x14ac:dyDescent="0.2">
      <c r="A315" s="17"/>
      <c r="B315" s="17"/>
      <c r="C315" s="17"/>
      <c r="D315" s="17"/>
      <c r="E315" s="18"/>
      <c r="F315" s="19"/>
    </row>
    <row r="316" spans="1:6" x14ac:dyDescent="0.2">
      <c r="A316" s="17"/>
      <c r="B316" s="17"/>
      <c r="C316" s="17"/>
      <c r="D316" s="17"/>
      <c r="E316" s="18"/>
      <c r="F316" s="19"/>
    </row>
    <row r="317" spans="1:6" x14ac:dyDescent="0.2">
      <c r="A317" s="17"/>
      <c r="B317" s="17"/>
      <c r="C317" s="17"/>
      <c r="D317" s="17"/>
      <c r="E317" s="18"/>
      <c r="F317" s="19"/>
    </row>
    <row r="318" spans="1:6" x14ac:dyDescent="0.2">
      <c r="A318" s="17"/>
      <c r="B318" s="17"/>
      <c r="C318" s="17"/>
      <c r="D318" s="17"/>
      <c r="E318" s="18"/>
      <c r="F318" s="19"/>
    </row>
    <row r="319" spans="1:6" x14ac:dyDescent="0.2">
      <c r="A319" s="17"/>
      <c r="B319" s="17"/>
      <c r="C319" s="17"/>
      <c r="D319" s="17"/>
      <c r="E319" s="18"/>
      <c r="F319" s="19"/>
    </row>
    <row r="320" spans="1:6" x14ac:dyDescent="0.2">
      <c r="A320" s="17"/>
      <c r="B320" s="17"/>
      <c r="C320" s="17"/>
      <c r="D320" s="17"/>
      <c r="E320" s="18"/>
      <c r="F320" s="19"/>
    </row>
    <row r="321" spans="1:6" x14ac:dyDescent="0.2">
      <c r="A321" s="17"/>
      <c r="B321" s="17"/>
      <c r="C321" s="17"/>
      <c r="D321" s="17"/>
      <c r="E321" s="18"/>
      <c r="F321" s="19"/>
    </row>
    <row r="322" spans="1:6" x14ac:dyDescent="0.2">
      <c r="A322" s="17"/>
      <c r="B322" s="17"/>
      <c r="C322" s="17"/>
      <c r="D322" s="17"/>
      <c r="E322" s="18"/>
      <c r="F322" s="19"/>
    </row>
    <row r="323" spans="1:6" x14ac:dyDescent="0.2">
      <c r="A323" s="17"/>
      <c r="B323" s="17"/>
      <c r="C323" s="17"/>
      <c r="D323" s="17"/>
      <c r="E323" s="18"/>
      <c r="F323" s="19"/>
    </row>
    <row r="324" spans="1:6" x14ac:dyDescent="0.2">
      <c r="A324" s="17"/>
      <c r="B324" s="17"/>
      <c r="C324" s="17"/>
      <c r="D324" s="17"/>
      <c r="E324" s="18"/>
      <c r="F324" s="19"/>
    </row>
    <row r="325" spans="1:6" x14ac:dyDescent="0.2">
      <c r="A325" s="17"/>
      <c r="B325" s="17"/>
      <c r="C325" s="17"/>
      <c r="D325" s="17"/>
      <c r="E325" s="18"/>
      <c r="F325" s="19"/>
    </row>
    <row r="326" spans="1:6" x14ac:dyDescent="0.2">
      <c r="A326" s="17"/>
      <c r="B326" s="17"/>
      <c r="C326" s="17"/>
      <c r="D326" s="17"/>
      <c r="E326" s="18"/>
      <c r="F326" s="19"/>
    </row>
    <row r="327" spans="1:6" x14ac:dyDescent="0.2">
      <c r="A327" s="17"/>
      <c r="B327" s="17"/>
      <c r="C327" s="17"/>
      <c r="D327" s="17"/>
      <c r="E327" s="18"/>
      <c r="F327" s="19"/>
    </row>
    <row r="328" spans="1:6" x14ac:dyDescent="0.2">
      <c r="A328" s="17"/>
      <c r="B328" s="17"/>
      <c r="C328" s="17"/>
      <c r="D328" s="17"/>
      <c r="E328" s="18"/>
      <c r="F328" s="19"/>
    </row>
    <row r="329" spans="1:6" x14ac:dyDescent="0.2">
      <c r="A329" s="17"/>
      <c r="B329" s="17"/>
      <c r="C329" s="17"/>
      <c r="D329" s="17"/>
      <c r="E329" s="18"/>
      <c r="F329" s="19"/>
    </row>
    <row r="330" spans="1:6" x14ac:dyDescent="0.2">
      <c r="A330" s="17"/>
      <c r="B330" s="17"/>
      <c r="C330" s="17"/>
      <c r="D330" s="17"/>
      <c r="E330" s="18"/>
      <c r="F330" s="19"/>
    </row>
    <row r="331" spans="1:6" x14ac:dyDescent="0.2">
      <c r="A331" s="17"/>
      <c r="B331" s="17"/>
      <c r="C331" s="17"/>
      <c r="D331" s="17"/>
      <c r="E331" s="18"/>
      <c r="F331" s="19"/>
    </row>
    <row r="332" spans="1:6" x14ac:dyDescent="0.2">
      <c r="A332" s="17"/>
      <c r="B332" s="17"/>
      <c r="C332" s="17"/>
      <c r="D332" s="17"/>
      <c r="E332" s="18"/>
      <c r="F332" s="19"/>
    </row>
    <row r="333" spans="1:6" x14ac:dyDescent="0.2">
      <c r="A333" s="17"/>
      <c r="B333" s="17"/>
      <c r="C333" s="17"/>
      <c r="D333" s="17"/>
      <c r="E333" s="18"/>
      <c r="F333" s="19"/>
    </row>
    <row r="334" spans="1:6" x14ac:dyDescent="0.2">
      <c r="A334" s="17"/>
      <c r="B334" s="17"/>
      <c r="C334" s="17"/>
      <c r="D334" s="17"/>
      <c r="E334" s="18"/>
      <c r="F334" s="19"/>
    </row>
    <row r="335" spans="1:6" x14ac:dyDescent="0.2">
      <c r="A335" s="17"/>
      <c r="B335" s="17"/>
      <c r="C335" s="17"/>
      <c r="D335" s="17"/>
      <c r="E335" s="18"/>
      <c r="F335" s="19"/>
    </row>
    <row r="336" spans="1:6" x14ac:dyDescent="0.2">
      <c r="A336" s="17"/>
      <c r="B336" s="17"/>
      <c r="C336" s="17"/>
      <c r="D336" s="17"/>
      <c r="E336" s="18"/>
      <c r="F336" s="19"/>
    </row>
    <row r="337" spans="1:6" x14ac:dyDescent="0.2">
      <c r="A337" s="17"/>
      <c r="B337" s="17"/>
      <c r="C337" s="17"/>
      <c r="D337" s="17"/>
      <c r="E337" s="18"/>
      <c r="F337" s="19"/>
    </row>
    <row r="338" spans="1:6" x14ac:dyDescent="0.2">
      <c r="A338" s="17"/>
      <c r="B338" s="17"/>
      <c r="C338" s="17"/>
      <c r="D338" s="17"/>
      <c r="E338" s="18"/>
      <c r="F338" s="19"/>
    </row>
    <row r="339" spans="1:6" x14ac:dyDescent="0.2">
      <c r="A339" s="17"/>
      <c r="B339" s="17"/>
      <c r="C339" s="17"/>
      <c r="D339" s="17"/>
      <c r="E339" s="18"/>
      <c r="F339" s="19"/>
    </row>
    <row r="340" spans="1:6" x14ac:dyDescent="0.2">
      <c r="A340" s="17"/>
      <c r="B340" s="17"/>
      <c r="C340" s="17"/>
      <c r="D340" s="17"/>
      <c r="E340" s="18"/>
      <c r="F340" s="19"/>
    </row>
    <row r="341" spans="1:6" x14ac:dyDescent="0.2">
      <c r="A341" s="17"/>
      <c r="B341" s="17"/>
      <c r="C341" s="17"/>
      <c r="D341" s="17"/>
      <c r="E341" s="18"/>
      <c r="F341" s="19"/>
    </row>
    <row r="342" spans="1:6" x14ac:dyDescent="0.2">
      <c r="A342" s="17"/>
      <c r="B342" s="17"/>
      <c r="C342" s="17"/>
      <c r="D342" s="17"/>
      <c r="E342" s="18"/>
      <c r="F342" s="19"/>
    </row>
    <row r="343" spans="1:6" x14ac:dyDescent="0.2">
      <c r="A343" s="17"/>
      <c r="B343" s="17"/>
      <c r="C343" s="17"/>
      <c r="D343" s="17"/>
      <c r="E343" s="18"/>
      <c r="F343" s="19"/>
    </row>
    <row r="344" spans="1:6" x14ac:dyDescent="0.2">
      <c r="A344" s="17"/>
      <c r="B344" s="17"/>
      <c r="C344" s="17"/>
      <c r="D344" s="17"/>
      <c r="E344" s="18"/>
      <c r="F344" s="19"/>
    </row>
    <row r="345" spans="1:6" x14ac:dyDescent="0.2">
      <c r="A345" s="17"/>
      <c r="B345" s="17"/>
      <c r="C345" s="17"/>
      <c r="D345" s="17"/>
      <c r="E345" s="18"/>
      <c r="F345" s="19"/>
    </row>
    <row r="346" spans="1:6" x14ac:dyDescent="0.2">
      <c r="A346" s="17"/>
      <c r="B346" s="17"/>
      <c r="C346" s="17"/>
      <c r="D346" s="17"/>
      <c r="E346" s="18"/>
      <c r="F346" s="19"/>
    </row>
    <row r="347" spans="1:6" x14ac:dyDescent="0.2">
      <c r="A347" s="17"/>
      <c r="B347" s="17"/>
      <c r="C347" s="17"/>
      <c r="D347" s="17"/>
      <c r="E347" s="18"/>
      <c r="F347" s="19"/>
    </row>
    <row r="348" spans="1:6" x14ac:dyDescent="0.2">
      <c r="A348" s="17"/>
      <c r="B348" s="17"/>
      <c r="C348" s="17"/>
      <c r="D348" s="17"/>
      <c r="E348" s="18"/>
      <c r="F348" s="19"/>
    </row>
    <row r="349" spans="1:6" x14ac:dyDescent="0.2">
      <c r="A349" s="17"/>
      <c r="B349" s="17"/>
      <c r="C349" s="17"/>
      <c r="D349" s="17"/>
      <c r="E349" s="18"/>
      <c r="F349" s="19"/>
    </row>
    <row r="350" spans="1:6" x14ac:dyDescent="0.2">
      <c r="A350" s="17"/>
      <c r="B350" s="17"/>
      <c r="C350" s="17"/>
      <c r="D350" s="17"/>
      <c r="E350" s="18"/>
      <c r="F350" s="19"/>
    </row>
    <row r="351" spans="1:6" x14ac:dyDescent="0.2">
      <c r="A351" s="17"/>
      <c r="B351" s="17"/>
      <c r="C351" s="17"/>
      <c r="D351" s="17"/>
      <c r="E351" s="18"/>
      <c r="F351" s="19"/>
    </row>
    <row r="352" spans="1:6" x14ac:dyDescent="0.2">
      <c r="A352" s="17"/>
      <c r="B352" s="17"/>
      <c r="C352" s="17"/>
      <c r="D352" s="17"/>
      <c r="E352" s="18"/>
      <c r="F352" s="19"/>
    </row>
    <row r="353" spans="1:6" x14ac:dyDescent="0.2">
      <c r="A353" s="17"/>
      <c r="B353" s="17"/>
      <c r="C353" s="17"/>
      <c r="D353" s="17"/>
      <c r="E353" s="18"/>
      <c r="F353" s="19"/>
    </row>
    <row r="354" spans="1:6" x14ac:dyDescent="0.2">
      <c r="A354" s="17"/>
      <c r="B354" s="17"/>
      <c r="C354" s="17"/>
      <c r="D354" s="17"/>
      <c r="E354" s="18"/>
      <c r="F354" s="19"/>
    </row>
    <row r="355" spans="1:6" x14ac:dyDescent="0.2">
      <c r="A355" s="17"/>
      <c r="B355" s="17"/>
      <c r="C355" s="17"/>
      <c r="D355" s="17"/>
      <c r="E355" s="18"/>
      <c r="F355" s="19"/>
    </row>
    <row r="356" spans="1:6" x14ac:dyDescent="0.2">
      <c r="A356" s="17"/>
      <c r="B356" s="17"/>
      <c r="C356" s="17"/>
      <c r="D356" s="17"/>
      <c r="E356" s="18"/>
      <c r="F356" s="19"/>
    </row>
    <row r="357" spans="1:6" x14ac:dyDescent="0.2">
      <c r="A357" s="17"/>
      <c r="B357" s="17"/>
      <c r="C357" s="17"/>
      <c r="D357" s="17"/>
      <c r="E357" s="18"/>
      <c r="F357" s="19"/>
    </row>
    <row r="358" spans="1:6" x14ac:dyDescent="0.2">
      <c r="A358" s="17"/>
      <c r="B358" s="17"/>
      <c r="C358" s="17"/>
      <c r="D358" s="17"/>
      <c r="E358" s="18"/>
      <c r="F358" s="19"/>
    </row>
    <row r="359" spans="1:6" x14ac:dyDescent="0.2">
      <c r="A359" s="17"/>
      <c r="B359" s="17"/>
      <c r="C359" s="17"/>
      <c r="D359" s="17"/>
      <c r="E359" s="18"/>
      <c r="F359" s="19"/>
    </row>
    <row r="360" spans="1:6" x14ac:dyDescent="0.2">
      <c r="A360" s="17"/>
      <c r="B360" s="17"/>
      <c r="C360" s="17"/>
      <c r="D360" s="17"/>
      <c r="E360" s="18"/>
      <c r="F360" s="19"/>
    </row>
    <row r="361" spans="1:6" x14ac:dyDescent="0.2">
      <c r="A361" s="17"/>
      <c r="B361" s="17"/>
      <c r="C361" s="17"/>
      <c r="D361" s="17"/>
      <c r="E361" s="18"/>
      <c r="F361" s="19"/>
    </row>
    <row r="362" spans="1:6" x14ac:dyDescent="0.2">
      <c r="A362" s="17"/>
      <c r="B362" s="17"/>
      <c r="C362" s="17"/>
      <c r="D362" s="17"/>
      <c r="E362" s="18"/>
      <c r="F362" s="19"/>
    </row>
    <row r="363" spans="1:6" x14ac:dyDescent="0.2">
      <c r="A363" s="17"/>
      <c r="B363" s="17"/>
      <c r="C363" s="17"/>
      <c r="D363" s="17"/>
      <c r="E363" s="18"/>
      <c r="F363" s="19"/>
    </row>
    <row r="364" spans="1:6" x14ac:dyDescent="0.2">
      <c r="A364" s="17"/>
      <c r="B364" s="17"/>
      <c r="C364" s="17"/>
      <c r="D364" s="17"/>
      <c r="E364" s="18"/>
      <c r="F364" s="19"/>
    </row>
    <row r="365" spans="1:6" x14ac:dyDescent="0.2">
      <c r="A365" s="17"/>
      <c r="B365" s="17"/>
      <c r="C365" s="17"/>
      <c r="D365" s="17"/>
      <c r="E365" s="18"/>
      <c r="F365" s="19"/>
    </row>
    <row r="366" spans="1:6" x14ac:dyDescent="0.2">
      <c r="A366" s="17"/>
      <c r="B366" s="17"/>
      <c r="C366" s="17"/>
      <c r="D366" s="17"/>
      <c r="E366" s="18"/>
      <c r="F366" s="19"/>
    </row>
    <row r="367" spans="1:6" x14ac:dyDescent="0.2">
      <c r="A367" s="17"/>
      <c r="B367" s="17"/>
      <c r="C367" s="17"/>
      <c r="D367" s="17"/>
      <c r="E367" s="18"/>
      <c r="F367" s="19"/>
    </row>
    <row r="368" spans="1:6" x14ac:dyDescent="0.2">
      <c r="A368" s="17"/>
      <c r="B368" s="17"/>
      <c r="C368" s="17"/>
      <c r="D368" s="17"/>
      <c r="E368" s="18"/>
      <c r="F368" s="19"/>
    </row>
    <row r="369" spans="1:6" x14ac:dyDescent="0.2">
      <c r="A369" s="17"/>
      <c r="B369" s="17"/>
      <c r="C369" s="17"/>
      <c r="D369" s="17"/>
      <c r="E369" s="18"/>
      <c r="F369" s="19"/>
    </row>
    <row r="370" spans="1:6" x14ac:dyDescent="0.2">
      <c r="A370" s="17"/>
      <c r="B370" s="17"/>
      <c r="C370" s="17"/>
      <c r="D370" s="17"/>
      <c r="E370" s="18"/>
      <c r="F370" s="19"/>
    </row>
    <row r="371" spans="1:6" x14ac:dyDescent="0.2">
      <c r="A371" s="17"/>
      <c r="B371" s="17"/>
      <c r="C371" s="17"/>
      <c r="D371" s="17"/>
      <c r="E371" s="18"/>
      <c r="F371" s="19"/>
    </row>
    <row r="372" spans="1:6" x14ac:dyDescent="0.2">
      <c r="A372" s="17"/>
      <c r="B372" s="17"/>
      <c r="C372" s="17"/>
      <c r="D372" s="17"/>
      <c r="E372" s="18"/>
      <c r="F372" s="19"/>
    </row>
    <row r="373" spans="1:6" x14ac:dyDescent="0.2">
      <c r="A373" s="17"/>
      <c r="B373" s="17"/>
      <c r="C373" s="17"/>
      <c r="D373" s="17"/>
      <c r="E373" s="18"/>
      <c r="F373" s="19"/>
    </row>
    <row r="374" spans="1:6" x14ac:dyDescent="0.2">
      <c r="A374" s="17"/>
      <c r="B374" s="17"/>
      <c r="C374" s="17"/>
      <c r="D374" s="17"/>
      <c r="E374" s="18"/>
      <c r="F374" s="19"/>
    </row>
    <row r="375" spans="1:6" x14ac:dyDescent="0.2">
      <c r="A375" s="17"/>
      <c r="B375" s="17"/>
      <c r="C375" s="17"/>
      <c r="D375" s="17"/>
      <c r="E375" s="18"/>
      <c r="F375" s="19"/>
    </row>
    <row r="376" spans="1:6" x14ac:dyDescent="0.2">
      <c r="A376" s="17"/>
      <c r="B376" s="17"/>
      <c r="C376" s="17"/>
      <c r="D376" s="17"/>
      <c r="E376" s="18"/>
      <c r="F376" s="19"/>
    </row>
    <row r="377" spans="1:6" x14ac:dyDescent="0.2">
      <c r="A377" s="17"/>
      <c r="B377" s="17"/>
      <c r="C377" s="17"/>
      <c r="D377" s="17"/>
      <c r="E377" s="18"/>
      <c r="F377" s="19"/>
    </row>
    <row r="378" spans="1:6" x14ac:dyDescent="0.2">
      <c r="A378" s="17"/>
      <c r="B378" s="17"/>
      <c r="C378" s="17"/>
      <c r="D378" s="17"/>
      <c r="E378" s="18"/>
      <c r="F378" s="19"/>
    </row>
    <row r="379" spans="1:6" x14ac:dyDescent="0.2">
      <c r="A379" s="17"/>
      <c r="B379" s="17"/>
      <c r="C379" s="17"/>
      <c r="D379" s="17"/>
      <c r="E379" s="18"/>
      <c r="F379" s="19"/>
    </row>
    <row r="380" spans="1:6" x14ac:dyDescent="0.2">
      <c r="A380" s="17"/>
      <c r="B380" s="17"/>
      <c r="C380" s="17"/>
      <c r="D380" s="17"/>
      <c r="E380" s="18"/>
      <c r="F380" s="19"/>
    </row>
    <row r="381" spans="1:6" x14ac:dyDescent="0.2">
      <c r="A381" s="17"/>
      <c r="B381" s="17"/>
      <c r="C381" s="17"/>
      <c r="D381" s="17"/>
      <c r="E381" s="18"/>
      <c r="F381" s="19"/>
    </row>
    <row r="382" spans="1:6" x14ac:dyDescent="0.2">
      <c r="A382" s="17"/>
      <c r="B382" s="17"/>
      <c r="C382" s="17"/>
      <c r="D382" s="17"/>
      <c r="E382" s="18"/>
      <c r="F382" s="19"/>
    </row>
    <row r="383" spans="1:6" x14ac:dyDescent="0.2">
      <c r="A383" s="17"/>
      <c r="B383" s="17"/>
      <c r="C383" s="17"/>
      <c r="D383" s="17"/>
      <c r="E383" s="18"/>
      <c r="F383" s="19"/>
    </row>
    <row r="384" spans="1:6" x14ac:dyDescent="0.2">
      <c r="A384" s="17"/>
      <c r="B384" s="17"/>
      <c r="C384" s="17"/>
      <c r="D384" s="17"/>
      <c r="E384" s="18"/>
      <c r="F384" s="19"/>
    </row>
    <row r="385" spans="1:6" x14ac:dyDescent="0.2">
      <c r="A385" s="17"/>
      <c r="B385" s="17"/>
      <c r="C385" s="17"/>
      <c r="D385" s="17"/>
      <c r="E385" s="18"/>
      <c r="F385" s="19"/>
    </row>
    <row r="386" spans="1:6" x14ac:dyDescent="0.2">
      <c r="A386" s="17"/>
      <c r="B386" s="17"/>
      <c r="C386" s="17"/>
      <c r="D386" s="17"/>
      <c r="E386" s="18"/>
      <c r="F386" s="19"/>
    </row>
    <row r="387" spans="1:6" x14ac:dyDescent="0.2">
      <c r="A387" s="17"/>
      <c r="B387" s="17"/>
      <c r="C387" s="17"/>
      <c r="D387" s="17"/>
      <c r="E387" s="18"/>
      <c r="F387" s="19"/>
    </row>
    <row r="388" spans="1:6" x14ac:dyDescent="0.2">
      <c r="A388" s="17"/>
      <c r="B388" s="17"/>
      <c r="C388" s="17"/>
      <c r="D388" s="17"/>
      <c r="E388" s="18"/>
      <c r="F388" s="19"/>
    </row>
    <row r="389" spans="1:6" x14ac:dyDescent="0.2">
      <c r="A389" s="17"/>
      <c r="B389" s="17"/>
      <c r="C389" s="17"/>
      <c r="D389" s="17"/>
      <c r="E389" s="18"/>
      <c r="F389" s="19"/>
    </row>
    <row r="390" spans="1:6" x14ac:dyDescent="0.2">
      <c r="A390" s="17"/>
      <c r="B390" s="17"/>
      <c r="C390" s="17"/>
      <c r="D390" s="17"/>
      <c r="E390" s="18"/>
      <c r="F390" s="19"/>
    </row>
    <row r="391" spans="1:6" x14ac:dyDescent="0.2">
      <c r="A391" s="17"/>
      <c r="B391" s="17"/>
      <c r="C391" s="17"/>
      <c r="D391" s="17"/>
      <c r="E391" s="18"/>
      <c r="F391" s="19"/>
    </row>
    <row r="392" spans="1:6" x14ac:dyDescent="0.2">
      <c r="A392" s="17"/>
      <c r="B392" s="17"/>
      <c r="C392" s="17"/>
      <c r="D392" s="17"/>
      <c r="E392" s="18"/>
      <c r="F392" s="19"/>
    </row>
    <row r="393" spans="1:6" x14ac:dyDescent="0.2">
      <c r="A393" s="17"/>
      <c r="B393" s="17"/>
      <c r="C393" s="17"/>
      <c r="D393" s="17"/>
      <c r="E393" s="18"/>
      <c r="F393" s="19"/>
    </row>
    <row r="394" spans="1:6" x14ac:dyDescent="0.2">
      <c r="A394" s="17"/>
      <c r="B394" s="17"/>
      <c r="C394" s="17"/>
      <c r="D394" s="17"/>
      <c r="E394" s="18"/>
      <c r="F394" s="19"/>
    </row>
    <row r="395" spans="1:6" x14ac:dyDescent="0.2">
      <c r="A395" s="17"/>
      <c r="B395" s="17"/>
      <c r="C395" s="17"/>
      <c r="D395" s="17"/>
      <c r="E395" s="18"/>
      <c r="F395" s="19"/>
    </row>
    <row r="396" spans="1:6" x14ac:dyDescent="0.2">
      <c r="A396" s="17"/>
      <c r="B396" s="17"/>
      <c r="C396" s="17"/>
      <c r="D396" s="17"/>
      <c r="E396" s="18"/>
      <c r="F396" s="19"/>
    </row>
    <row r="397" spans="1:6" x14ac:dyDescent="0.2">
      <c r="A397" s="17"/>
      <c r="B397" s="17"/>
      <c r="C397" s="17"/>
      <c r="D397" s="17"/>
      <c r="E397" s="18"/>
      <c r="F397" s="19"/>
    </row>
    <row r="398" spans="1:6" x14ac:dyDescent="0.2">
      <c r="A398" s="17"/>
      <c r="B398" s="17"/>
      <c r="C398" s="17"/>
      <c r="D398" s="17"/>
      <c r="E398" s="18"/>
      <c r="F398" s="19"/>
    </row>
    <row r="399" spans="1:6" x14ac:dyDescent="0.2">
      <c r="A399" s="17"/>
      <c r="B399" s="17"/>
      <c r="C399" s="17"/>
      <c r="D399" s="17"/>
      <c r="E399" s="18"/>
      <c r="F399" s="19"/>
    </row>
    <row r="400" spans="1:6" x14ac:dyDescent="0.2">
      <c r="A400" s="17"/>
      <c r="B400" s="17"/>
      <c r="C400" s="17"/>
      <c r="D400" s="17"/>
      <c r="E400" s="18"/>
      <c r="F400" s="19"/>
    </row>
    <row r="401" spans="1:6" x14ac:dyDescent="0.2">
      <c r="A401" s="17"/>
      <c r="B401" s="17"/>
      <c r="C401" s="17"/>
      <c r="D401" s="17"/>
      <c r="E401" s="18"/>
      <c r="F401" s="19"/>
    </row>
    <row r="402" spans="1:6" x14ac:dyDescent="0.2">
      <c r="A402" s="17"/>
      <c r="B402" s="17"/>
      <c r="C402" s="17"/>
      <c r="D402" s="17"/>
      <c r="E402" s="18"/>
      <c r="F402" s="19"/>
    </row>
    <row r="403" spans="1:6" x14ac:dyDescent="0.2">
      <c r="A403" s="17"/>
      <c r="B403" s="17"/>
      <c r="C403" s="17"/>
      <c r="D403" s="17"/>
      <c r="E403" s="18"/>
      <c r="F403" s="19"/>
    </row>
    <row r="404" spans="1:6" x14ac:dyDescent="0.2">
      <c r="A404" s="17"/>
      <c r="B404" s="17"/>
      <c r="C404" s="17"/>
      <c r="D404" s="17"/>
      <c r="E404" s="18"/>
      <c r="F404" s="19"/>
    </row>
    <row r="405" spans="1:6" x14ac:dyDescent="0.2">
      <c r="A405" s="17"/>
      <c r="B405" s="17"/>
      <c r="C405" s="17"/>
      <c r="D405" s="17"/>
      <c r="E405" s="18"/>
      <c r="F405" s="19"/>
    </row>
    <row r="406" spans="1:6" x14ac:dyDescent="0.2">
      <c r="A406" s="17"/>
      <c r="B406" s="17"/>
      <c r="C406" s="17"/>
      <c r="D406" s="17"/>
      <c r="E406" s="18"/>
      <c r="F406" s="19"/>
    </row>
    <row r="407" spans="1:6" x14ac:dyDescent="0.2">
      <c r="A407" s="17"/>
      <c r="B407" s="17"/>
      <c r="C407" s="17"/>
      <c r="D407" s="17"/>
      <c r="E407" s="18"/>
      <c r="F407" s="19"/>
    </row>
    <row r="408" spans="1:6" x14ac:dyDescent="0.2">
      <c r="A408" s="17"/>
      <c r="B408" s="17"/>
      <c r="C408" s="17"/>
      <c r="D408" s="17"/>
      <c r="E408" s="18"/>
      <c r="F408" s="19"/>
    </row>
    <row r="409" spans="1:6" x14ac:dyDescent="0.2">
      <c r="A409" s="17"/>
      <c r="B409" s="17"/>
      <c r="C409" s="17"/>
      <c r="D409" s="17"/>
      <c r="E409" s="18"/>
      <c r="F409" s="19"/>
    </row>
    <row r="410" spans="1:6" x14ac:dyDescent="0.2">
      <c r="A410" s="17"/>
      <c r="B410" s="17"/>
      <c r="C410" s="17"/>
      <c r="D410" s="17"/>
      <c r="E410" s="18"/>
      <c r="F410" s="19"/>
    </row>
    <row r="411" spans="1:6" x14ac:dyDescent="0.2">
      <c r="A411" s="17"/>
      <c r="B411" s="17"/>
      <c r="C411" s="17"/>
      <c r="D411" s="17"/>
      <c r="E411" s="18"/>
      <c r="F411" s="19"/>
    </row>
    <row r="412" spans="1:6" x14ac:dyDescent="0.2">
      <c r="A412" s="17"/>
      <c r="B412" s="17"/>
      <c r="C412" s="17"/>
      <c r="D412" s="17"/>
      <c r="E412" s="18"/>
      <c r="F412" s="19"/>
    </row>
    <row r="413" spans="1:6" x14ac:dyDescent="0.2">
      <c r="A413" s="17"/>
      <c r="B413" s="17"/>
      <c r="C413" s="17"/>
      <c r="D413" s="17"/>
      <c r="E413" s="18"/>
      <c r="F413" s="19"/>
    </row>
    <row r="414" spans="1:6" x14ac:dyDescent="0.2">
      <c r="A414" s="17"/>
      <c r="B414" s="17"/>
      <c r="C414" s="17"/>
      <c r="D414" s="17"/>
      <c r="E414" s="18"/>
      <c r="F414" s="19"/>
    </row>
    <row r="415" spans="1:6" x14ac:dyDescent="0.2">
      <c r="A415" s="17"/>
      <c r="B415" s="17"/>
      <c r="C415" s="17"/>
      <c r="D415" s="17"/>
      <c r="E415" s="18"/>
      <c r="F415" s="19"/>
    </row>
    <row r="416" spans="1:6" x14ac:dyDescent="0.2">
      <c r="A416" s="17"/>
      <c r="B416" s="17"/>
      <c r="C416" s="17"/>
      <c r="D416" s="17"/>
      <c r="E416" s="18"/>
      <c r="F416" s="19"/>
    </row>
    <row r="417" spans="1:6" x14ac:dyDescent="0.2">
      <c r="A417" s="17"/>
      <c r="B417" s="17"/>
      <c r="C417" s="17"/>
      <c r="D417" s="17"/>
      <c r="E417" s="18"/>
      <c r="F417" s="19"/>
    </row>
    <row r="418" spans="1:6" x14ac:dyDescent="0.2">
      <c r="A418" s="17"/>
      <c r="B418" s="17"/>
      <c r="C418" s="17"/>
      <c r="D418" s="17"/>
      <c r="E418" s="18"/>
      <c r="F418" s="19"/>
    </row>
    <row r="419" spans="1:6" x14ac:dyDescent="0.2">
      <c r="A419" s="17"/>
      <c r="B419" s="17"/>
      <c r="C419" s="17"/>
      <c r="D419" s="17"/>
      <c r="E419" s="18"/>
      <c r="F419" s="19"/>
    </row>
    <row r="420" spans="1:6" x14ac:dyDescent="0.2">
      <c r="A420" s="17"/>
      <c r="B420" s="17"/>
      <c r="C420" s="17"/>
      <c r="D420" s="17"/>
      <c r="E420" s="18"/>
      <c r="F420" s="19"/>
    </row>
    <row r="421" spans="1:6" x14ac:dyDescent="0.2">
      <c r="A421" s="17"/>
      <c r="B421" s="17"/>
      <c r="C421" s="17"/>
      <c r="D421" s="17"/>
      <c r="E421" s="18"/>
      <c r="F421" s="19"/>
    </row>
    <row r="422" spans="1:6" x14ac:dyDescent="0.2">
      <c r="A422" s="17"/>
      <c r="B422" s="17"/>
      <c r="C422" s="17"/>
      <c r="D422" s="17"/>
      <c r="E422" s="18"/>
      <c r="F422" s="19"/>
    </row>
    <row r="423" spans="1:6" x14ac:dyDescent="0.2">
      <c r="A423" s="17"/>
      <c r="B423" s="17"/>
      <c r="C423" s="17"/>
      <c r="D423" s="17"/>
      <c r="E423" s="18"/>
      <c r="F423" s="19"/>
    </row>
    <row r="424" spans="1:6" x14ac:dyDescent="0.2">
      <c r="A424" s="17"/>
      <c r="B424" s="17"/>
      <c r="C424" s="17"/>
      <c r="D424" s="17"/>
      <c r="E424" s="18"/>
      <c r="F424" s="19"/>
    </row>
    <row r="425" spans="1:6" x14ac:dyDescent="0.2">
      <c r="A425" s="17"/>
      <c r="B425" s="17"/>
      <c r="C425" s="17"/>
      <c r="D425" s="17"/>
      <c r="E425" s="18"/>
      <c r="F425" s="19"/>
    </row>
    <row r="426" spans="1:6" x14ac:dyDescent="0.2">
      <c r="A426" s="17"/>
      <c r="B426" s="17"/>
      <c r="C426" s="17"/>
      <c r="D426" s="17"/>
      <c r="E426" s="18"/>
      <c r="F426" s="19"/>
    </row>
    <row r="427" spans="1:6" x14ac:dyDescent="0.2">
      <c r="A427" s="17"/>
      <c r="B427" s="17"/>
      <c r="C427" s="17"/>
      <c r="D427" s="17"/>
      <c r="E427" s="18"/>
      <c r="F427" s="19"/>
    </row>
    <row r="428" spans="1:6" x14ac:dyDescent="0.2">
      <c r="A428" s="17"/>
      <c r="B428" s="17"/>
      <c r="C428" s="17"/>
      <c r="D428" s="17"/>
      <c r="E428" s="18"/>
      <c r="F428" s="19"/>
    </row>
    <row r="429" spans="1:6" x14ac:dyDescent="0.2">
      <c r="A429" s="17"/>
      <c r="B429" s="17"/>
      <c r="C429" s="17"/>
      <c r="D429" s="17"/>
      <c r="E429" s="18"/>
      <c r="F429" s="19"/>
    </row>
    <row r="430" spans="1:6" x14ac:dyDescent="0.2">
      <c r="A430" s="17"/>
      <c r="B430" s="17"/>
      <c r="C430" s="17"/>
      <c r="D430" s="17"/>
      <c r="E430" s="18"/>
      <c r="F430" s="19"/>
    </row>
    <row r="431" spans="1:6" x14ac:dyDescent="0.2">
      <c r="A431" s="17"/>
      <c r="B431" s="17"/>
      <c r="C431" s="17"/>
      <c r="D431" s="17"/>
      <c r="E431" s="18"/>
      <c r="F431" s="19"/>
    </row>
    <row r="432" spans="1:6" x14ac:dyDescent="0.2">
      <c r="A432" s="17"/>
      <c r="B432" s="17"/>
      <c r="C432" s="17"/>
      <c r="D432" s="17"/>
      <c r="E432" s="18"/>
      <c r="F432" s="19"/>
    </row>
    <row r="433" spans="1:6" x14ac:dyDescent="0.2">
      <c r="A433" s="17"/>
      <c r="B433" s="17"/>
      <c r="C433" s="17"/>
      <c r="D433" s="17"/>
      <c r="E433" s="18"/>
      <c r="F433" s="19"/>
    </row>
    <row r="434" spans="1:6" x14ac:dyDescent="0.2">
      <c r="A434" s="17"/>
      <c r="B434" s="17"/>
      <c r="C434" s="17"/>
      <c r="D434" s="17"/>
      <c r="E434" s="18"/>
      <c r="F434" s="19"/>
    </row>
    <row r="435" spans="1:6" x14ac:dyDescent="0.2">
      <c r="A435" s="17"/>
      <c r="B435" s="17"/>
      <c r="C435" s="17"/>
      <c r="D435" s="17"/>
      <c r="E435" s="18"/>
      <c r="F435" s="19"/>
    </row>
    <row r="436" spans="1:6" x14ac:dyDescent="0.2">
      <c r="A436" s="17"/>
      <c r="B436" s="17"/>
      <c r="C436" s="17"/>
      <c r="D436" s="17"/>
      <c r="E436" s="18"/>
      <c r="F436" s="19"/>
    </row>
    <row r="437" spans="1:6" x14ac:dyDescent="0.2">
      <c r="A437" s="17"/>
      <c r="B437" s="17"/>
      <c r="C437" s="17"/>
      <c r="D437" s="17"/>
      <c r="E437" s="18"/>
      <c r="F437" s="19"/>
    </row>
    <row r="438" spans="1:6" x14ac:dyDescent="0.2">
      <c r="A438" s="17"/>
      <c r="B438" s="17"/>
      <c r="C438" s="17"/>
      <c r="D438" s="17"/>
      <c r="E438" s="18"/>
      <c r="F438" s="19"/>
    </row>
    <row r="439" spans="1:6" x14ac:dyDescent="0.2">
      <c r="A439" s="17"/>
      <c r="B439" s="17"/>
      <c r="C439" s="17"/>
      <c r="D439" s="17"/>
      <c r="E439" s="18"/>
      <c r="F439" s="19"/>
    </row>
    <row r="440" spans="1:6" x14ac:dyDescent="0.2">
      <c r="A440" s="17"/>
      <c r="B440" s="17"/>
      <c r="C440" s="17"/>
      <c r="D440" s="17"/>
      <c r="E440" s="18"/>
      <c r="F440" s="19"/>
    </row>
    <row r="441" spans="1:6" x14ac:dyDescent="0.2">
      <c r="A441" s="17"/>
      <c r="B441" s="17"/>
      <c r="C441" s="17"/>
      <c r="D441" s="17"/>
      <c r="E441" s="18"/>
      <c r="F441" s="19"/>
    </row>
    <row r="442" spans="1:6" x14ac:dyDescent="0.2">
      <c r="A442" s="17"/>
      <c r="B442" s="17"/>
      <c r="C442" s="17"/>
      <c r="D442" s="17"/>
      <c r="E442" s="18"/>
      <c r="F442" s="19"/>
    </row>
    <row r="443" spans="1:6" x14ac:dyDescent="0.2">
      <c r="A443" s="17"/>
      <c r="B443" s="17"/>
      <c r="C443" s="17"/>
      <c r="D443" s="17"/>
      <c r="E443" s="18"/>
      <c r="F443" s="19"/>
    </row>
    <row r="444" spans="1:6" x14ac:dyDescent="0.2">
      <c r="A444" s="17"/>
      <c r="B444" s="17"/>
      <c r="C444" s="17"/>
      <c r="D444" s="17"/>
      <c r="E444" s="18"/>
      <c r="F444" s="19"/>
    </row>
    <row r="445" spans="1:6" x14ac:dyDescent="0.2">
      <c r="A445" s="17"/>
      <c r="B445" s="17"/>
      <c r="C445" s="17"/>
      <c r="D445" s="17"/>
      <c r="E445" s="18"/>
      <c r="F445" s="19"/>
    </row>
    <row r="446" spans="1:6" x14ac:dyDescent="0.2">
      <c r="A446" s="17"/>
      <c r="B446" s="17"/>
      <c r="C446" s="17"/>
      <c r="D446" s="17"/>
      <c r="E446" s="18"/>
      <c r="F446" s="19"/>
    </row>
    <row r="447" spans="1:6" x14ac:dyDescent="0.2">
      <c r="A447" s="17"/>
      <c r="B447" s="17"/>
      <c r="C447" s="17"/>
      <c r="D447" s="17"/>
      <c r="E447" s="18"/>
      <c r="F447" s="19"/>
    </row>
    <row r="448" spans="1:6" x14ac:dyDescent="0.2">
      <c r="A448" s="17"/>
      <c r="B448" s="17"/>
      <c r="C448" s="17"/>
      <c r="D448" s="17"/>
      <c r="E448" s="18"/>
      <c r="F448" s="19"/>
    </row>
    <row r="449" spans="1:6" x14ac:dyDescent="0.2">
      <c r="A449" s="17"/>
      <c r="B449" s="17"/>
      <c r="C449" s="17"/>
      <c r="D449" s="17"/>
      <c r="E449" s="18"/>
      <c r="F449" s="19"/>
    </row>
    <row r="450" spans="1:6" x14ac:dyDescent="0.2">
      <c r="A450" s="17"/>
      <c r="B450" s="17"/>
      <c r="C450" s="17"/>
      <c r="D450" s="17"/>
      <c r="E450" s="18"/>
      <c r="F450" s="19"/>
    </row>
    <row r="451" spans="1:6" x14ac:dyDescent="0.2">
      <c r="A451" s="17"/>
      <c r="B451" s="17"/>
      <c r="C451" s="17"/>
      <c r="D451" s="17"/>
      <c r="E451" s="18"/>
      <c r="F451" s="19"/>
    </row>
    <row r="452" spans="1:6" x14ac:dyDescent="0.2">
      <c r="A452" s="17"/>
      <c r="B452" s="17"/>
      <c r="C452" s="17"/>
      <c r="D452" s="17"/>
      <c r="E452" s="18"/>
      <c r="F452" s="19"/>
    </row>
    <row r="453" spans="1:6" x14ac:dyDescent="0.2">
      <c r="A453" s="17"/>
      <c r="B453" s="17"/>
      <c r="C453" s="17"/>
      <c r="D453" s="17"/>
      <c r="E453" s="18"/>
      <c r="F453" s="19"/>
    </row>
    <row r="454" spans="1:6" x14ac:dyDescent="0.2">
      <c r="A454" s="17"/>
      <c r="B454" s="17"/>
      <c r="C454" s="17"/>
      <c r="D454" s="17"/>
      <c r="E454" s="18"/>
      <c r="F454" s="19"/>
    </row>
    <row r="455" spans="1:6" x14ac:dyDescent="0.2">
      <c r="A455" s="17"/>
      <c r="B455" s="17"/>
      <c r="C455" s="17"/>
      <c r="D455" s="17"/>
      <c r="E455" s="18"/>
      <c r="F455" s="19"/>
    </row>
    <row r="456" spans="1:6" x14ac:dyDescent="0.2">
      <c r="A456" s="17"/>
      <c r="B456" s="17"/>
      <c r="C456" s="17"/>
      <c r="D456" s="17"/>
      <c r="E456" s="18"/>
      <c r="F456" s="19"/>
    </row>
    <row r="457" spans="1:6" x14ac:dyDescent="0.2">
      <c r="A457" s="17"/>
      <c r="B457" s="17"/>
      <c r="C457" s="17"/>
      <c r="D457" s="17"/>
      <c r="E457" s="18"/>
      <c r="F457" s="19"/>
    </row>
    <row r="458" spans="1:6" x14ac:dyDescent="0.2">
      <c r="A458" s="17"/>
      <c r="B458" s="17"/>
      <c r="C458" s="17"/>
      <c r="D458" s="17"/>
      <c r="E458" s="18"/>
      <c r="F458" s="19"/>
    </row>
    <row r="459" spans="1:6" x14ac:dyDescent="0.2">
      <c r="A459" s="17"/>
      <c r="B459" s="17"/>
      <c r="C459" s="17"/>
      <c r="D459" s="17"/>
      <c r="E459" s="18"/>
      <c r="F459" s="19"/>
    </row>
    <row r="460" spans="1:6" x14ac:dyDescent="0.2">
      <c r="A460" s="17"/>
      <c r="B460" s="17"/>
      <c r="C460" s="17"/>
      <c r="D460" s="17"/>
      <c r="E460" s="18"/>
      <c r="F460" s="19"/>
    </row>
    <row r="461" spans="1:6" x14ac:dyDescent="0.2">
      <c r="A461" s="17"/>
      <c r="B461" s="17"/>
      <c r="C461" s="17"/>
      <c r="D461" s="17"/>
      <c r="E461" s="18"/>
      <c r="F461" s="19"/>
    </row>
    <row r="462" spans="1:6" x14ac:dyDescent="0.2">
      <c r="A462" s="17"/>
      <c r="B462" s="17"/>
      <c r="C462" s="17"/>
      <c r="D462" s="17"/>
      <c r="E462" s="18"/>
      <c r="F462" s="19"/>
    </row>
    <row r="463" spans="1:6" x14ac:dyDescent="0.2">
      <c r="A463" s="17"/>
      <c r="B463" s="17"/>
      <c r="C463" s="17"/>
      <c r="D463" s="17"/>
      <c r="E463" s="18"/>
      <c r="F463" s="19"/>
    </row>
    <row r="464" spans="1:6" x14ac:dyDescent="0.2">
      <c r="A464" s="17"/>
      <c r="B464" s="17"/>
      <c r="C464" s="17"/>
      <c r="D464" s="17"/>
      <c r="E464" s="18"/>
      <c r="F464" s="19"/>
    </row>
    <row r="465" spans="1:6" x14ac:dyDescent="0.2">
      <c r="A465" s="17"/>
      <c r="B465" s="17"/>
      <c r="C465" s="17"/>
      <c r="D465" s="17"/>
      <c r="E465" s="18"/>
      <c r="F465" s="19"/>
    </row>
    <row r="466" spans="1:6" x14ac:dyDescent="0.2">
      <c r="A466" s="17"/>
      <c r="B466" s="17"/>
      <c r="C466" s="17"/>
      <c r="D466" s="17"/>
      <c r="E466" s="18"/>
      <c r="F466" s="19"/>
    </row>
    <row r="467" spans="1:6" x14ac:dyDescent="0.2">
      <c r="A467" s="17"/>
      <c r="B467" s="17"/>
      <c r="C467" s="17"/>
      <c r="D467" s="17"/>
      <c r="E467" s="18"/>
      <c r="F467" s="19"/>
    </row>
    <row r="468" spans="1:6" x14ac:dyDescent="0.2">
      <c r="A468" s="17"/>
      <c r="B468" s="17"/>
      <c r="C468" s="17"/>
      <c r="D468" s="17"/>
      <c r="E468" s="18"/>
      <c r="F468" s="19"/>
    </row>
    <row r="469" spans="1:6" x14ac:dyDescent="0.2">
      <c r="A469" s="17"/>
      <c r="B469" s="17"/>
      <c r="C469" s="17"/>
      <c r="D469" s="17"/>
      <c r="E469" s="18"/>
      <c r="F469" s="19"/>
    </row>
    <row r="470" spans="1:6" x14ac:dyDescent="0.2">
      <c r="A470" s="17"/>
      <c r="B470" s="17"/>
      <c r="C470" s="17"/>
      <c r="D470" s="17"/>
      <c r="E470" s="18"/>
      <c r="F470" s="19"/>
    </row>
    <row r="471" spans="1:6" x14ac:dyDescent="0.2">
      <c r="A471" s="17"/>
      <c r="B471" s="17"/>
      <c r="C471" s="17"/>
      <c r="D471" s="17"/>
      <c r="E471" s="18"/>
      <c r="F471" s="19"/>
    </row>
    <row r="472" spans="1:6" x14ac:dyDescent="0.2">
      <c r="A472" s="17"/>
      <c r="B472" s="17"/>
      <c r="C472" s="17"/>
      <c r="D472" s="17"/>
      <c r="E472" s="18"/>
      <c r="F472" s="19"/>
    </row>
    <row r="473" spans="1:6" x14ac:dyDescent="0.2">
      <c r="A473" s="17"/>
      <c r="B473" s="17"/>
      <c r="C473" s="17"/>
      <c r="D473" s="17"/>
      <c r="E473" s="18"/>
      <c r="F473" s="19"/>
    </row>
    <row r="474" spans="1:6" x14ac:dyDescent="0.2">
      <c r="A474" s="17"/>
      <c r="B474" s="17"/>
      <c r="C474" s="17"/>
      <c r="D474" s="17"/>
      <c r="E474" s="18"/>
      <c r="F474" s="19"/>
    </row>
    <row r="475" spans="1:6" x14ac:dyDescent="0.2">
      <c r="A475" s="17"/>
      <c r="B475" s="17"/>
      <c r="C475" s="17"/>
      <c r="D475" s="17"/>
      <c r="E475" s="18"/>
      <c r="F475" s="19"/>
    </row>
    <row r="476" spans="1:6" x14ac:dyDescent="0.2">
      <c r="A476" s="17"/>
      <c r="B476" s="17"/>
      <c r="C476" s="17"/>
      <c r="D476" s="17"/>
      <c r="E476" s="18"/>
      <c r="F476" s="19"/>
    </row>
    <row r="477" spans="1:6" x14ac:dyDescent="0.2">
      <c r="A477" s="17"/>
      <c r="B477" s="17"/>
      <c r="C477" s="17"/>
      <c r="D477" s="17"/>
      <c r="E477" s="18"/>
      <c r="F477" s="19"/>
    </row>
    <row r="478" spans="1:6" x14ac:dyDescent="0.2">
      <c r="A478" s="17"/>
      <c r="B478" s="17"/>
      <c r="C478" s="17"/>
      <c r="D478" s="17"/>
      <c r="E478" s="18"/>
      <c r="F478" s="19"/>
    </row>
    <row r="479" spans="1:6" x14ac:dyDescent="0.2">
      <c r="A479" s="17"/>
      <c r="B479" s="17"/>
      <c r="C479" s="17"/>
      <c r="D479" s="17"/>
      <c r="E479" s="18"/>
      <c r="F479" s="19"/>
    </row>
    <row r="480" spans="1:6" x14ac:dyDescent="0.2">
      <c r="A480" s="17"/>
      <c r="B480" s="17"/>
      <c r="C480" s="17"/>
      <c r="D480" s="17"/>
      <c r="E480" s="18"/>
      <c r="F480" s="19"/>
    </row>
    <row r="481" spans="1:6" x14ac:dyDescent="0.2">
      <c r="A481" s="17"/>
      <c r="B481" s="17"/>
      <c r="C481" s="17"/>
      <c r="D481" s="17"/>
      <c r="E481" s="18"/>
      <c r="F481" s="19"/>
    </row>
    <row r="482" spans="1:6" x14ac:dyDescent="0.2">
      <c r="A482" s="17"/>
      <c r="B482" s="17"/>
      <c r="C482" s="17"/>
      <c r="D482" s="17"/>
      <c r="E482" s="18"/>
      <c r="F482" s="19"/>
    </row>
    <row r="483" spans="1:6" x14ac:dyDescent="0.2">
      <c r="A483" s="17"/>
      <c r="B483" s="17"/>
      <c r="C483" s="17"/>
      <c r="D483" s="17"/>
      <c r="E483" s="18"/>
      <c r="F483" s="19"/>
    </row>
    <row r="484" spans="1:6" x14ac:dyDescent="0.2">
      <c r="A484" s="17"/>
      <c r="B484" s="17"/>
      <c r="C484" s="17"/>
      <c r="D484" s="17"/>
      <c r="E484" s="18"/>
      <c r="F484" s="19"/>
    </row>
    <row r="485" spans="1:6" x14ac:dyDescent="0.2">
      <c r="A485" s="17"/>
      <c r="B485" s="17"/>
      <c r="C485" s="17"/>
      <c r="D485" s="17"/>
      <c r="E485" s="18"/>
      <c r="F485" s="19"/>
    </row>
    <row r="486" spans="1:6" x14ac:dyDescent="0.2">
      <c r="A486" s="17"/>
      <c r="B486" s="17"/>
      <c r="C486" s="17"/>
      <c r="D486" s="17"/>
      <c r="E486" s="18"/>
      <c r="F486" s="19"/>
    </row>
    <row r="487" spans="1:6" x14ac:dyDescent="0.2">
      <c r="A487" s="17"/>
      <c r="B487" s="17"/>
      <c r="C487" s="17"/>
      <c r="D487" s="17"/>
      <c r="E487" s="18"/>
      <c r="F487" s="19"/>
    </row>
    <row r="488" spans="1:6" x14ac:dyDescent="0.2">
      <c r="A488" s="17"/>
      <c r="B488" s="17"/>
      <c r="C488" s="17"/>
      <c r="D488" s="17"/>
      <c r="E488" s="18"/>
      <c r="F488" s="19"/>
    </row>
    <row r="489" spans="1:6" x14ac:dyDescent="0.2">
      <c r="A489" s="17"/>
      <c r="B489" s="17"/>
      <c r="C489" s="17"/>
      <c r="D489" s="17"/>
      <c r="E489" s="18"/>
      <c r="F489" s="19"/>
    </row>
    <row r="490" spans="1:6" x14ac:dyDescent="0.2">
      <c r="A490" s="17"/>
      <c r="B490" s="17"/>
      <c r="C490" s="17"/>
      <c r="D490" s="17"/>
      <c r="E490" s="18"/>
      <c r="F490" s="19"/>
    </row>
    <row r="491" spans="1:6" x14ac:dyDescent="0.2">
      <c r="A491" s="17"/>
      <c r="B491" s="17"/>
      <c r="C491" s="17"/>
      <c r="D491" s="17"/>
      <c r="E491" s="18"/>
      <c r="F491" s="19"/>
    </row>
    <row r="492" spans="1:6" x14ac:dyDescent="0.2">
      <c r="A492" s="17"/>
      <c r="B492" s="17"/>
      <c r="C492" s="17"/>
      <c r="D492" s="17"/>
      <c r="E492" s="18"/>
      <c r="F492" s="19"/>
    </row>
    <row r="493" spans="1:6" x14ac:dyDescent="0.2">
      <c r="A493" s="17"/>
      <c r="B493" s="17"/>
      <c r="C493" s="17"/>
      <c r="D493" s="17"/>
      <c r="E493" s="18"/>
      <c r="F493" s="19"/>
    </row>
    <row r="494" spans="1:6" x14ac:dyDescent="0.2">
      <c r="A494" s="17"/>
      <c r="B494" s="17"/>
      <c r="C494" s="17"/>
      <c r="D494" s="17"/>
      <c r="E494" s="18"/>
      <c r="F494" s="19"/>
    </row>
    <row r="495" spans="1:6" x14ac:dyDescent="0.2">
      <c r="A495" s="17"/>
      <c r="B495" s="17"/>
      <c r="C495" s="17"/>
      <c r="D495" s="17"/>
      <c r="E495" s="18"/>
      <c r="F495" s="19"/>
    </row>
    <row r="496" spans="1:6" x14ac:dyDescent="0.2">
      <c r="A496" s="17"/>
      <c r="B496" s="17"/>
      <c r="C496" s="17"/>
      <c r="D496" s="17"/>
      <c r="E496" s="18"/>
      <c r="F496" s="19"/>
    </row>
    <row r="497" spans="1:6" x14ac:dyDescent="0.2">
      <c r="A497" s="17"/>
      <c r="B497" s="17"/>
      <c r="C497" s="17"/>
      <c r="D497" s="17"/>
      <c r="E497" s="18"/>
      <c r="F497" s="19"/>
    </row>
    <row r="498" spans="1:6" x14ac:dyDescent="0.2">
      <c r="A498" s="17"/>
      <c r="B498" s="17"/>
      <c r="C498" s="17"/>
      <c r="D498" s="17"/>
      <c r="E498" s="18"/>
      <c r="F498" s="19"/>
    </row>
    <row r="499" spans="1:6" x14ac:dyDescent="0.2">
      <c r="A499" s="17"/>
      <c r="B499" s="17"/>
      <c r="C499" s="17"/>
      <c r="D499" s="17"/>
      <c r="E499" s="18"/>
      <c r="F499" s="19"/>
    </row>
    <row r="500" spans="1:6" x14ac:dyDescent="0.2">
      <c r="A500" s="17"/>
      <c r="B500" s="17"/>
      <c r="C500" s="17"/>
      <c r="D500" s="17"/>
      <c r="E500" s="18"/>
      <c r="F500" s="19"/>
    </row>
    <row r="501" spans="1:6" x14ac:dyDescent="0.2">
      <c r="A501" s="17"/>
      <c r="B501" s="17"/>
      <c r="C501" s="17"/>
      <c r="D501" s="17"/>
      <c r="E501" s="18"/>
      <c r="F501" s="19"/>
    </row>
    <row r="502" spans="1:6" x14ac:dyDescent="0.2">
      <c r="A502" s="17"/>
      <c r="B502" s="17"/>
      <c r="C502" s="17"/>
      <c r="D502" s="17"/>
      <c r="E502" s="18"/>
      <c r="F502" s="19"/>
    </row>
    <row r="503" spans="1:6" x14ac:dyDescent="0.2">
      <c r="A503" s="17"/>
      <c r="B503" s="17"/>
      <c r="C503" s="17"/>
      <c r="D503" s="17"/>
      <c r="E503" s="18"/>
      <c r="F503" s="19"/>
    </row>
    <row r="504" spans="1:6" x14ac:dyDescent="0.2">
      <c r="A504" s="17"/>
      <c r="B504" s="17"/>
      <c r="C504" s="17"/>
      <c r="D504" s="17"/>
      <c r="E504" s="18"/>
      <c r="F504" s="19"/>
    </row>
    <row r="505" spans="1:6" x14ac:dyDescent="0.2">
      <c r="A505" s="17"/>
      <c r="B505" s="17"/>
      <c r="C505" s="17"/>
      <c r="D505" s="17"/>
      <c r="E505" s="18"/>
      <c r="F505" s="19"/>
    </row>
    <row r="506" spans="1:6" x14ac:dyDescent="0.2">
      <c r="A506" s="17"/>
      <c r="B506" s="17"/>
      <c r="C506" s="17"/>
      <c r="D506" s="17"/>
      <c r="E506" s="18"/>
      <c r="F506" s="19"/>
    </row>
    <row r="507" spans="1:6" x14ac:dyDescent="0.2">
      <c r="A507" s="17"/>
      <c r="B507" s="17"/>
      <c r="C507" s="17"/>
      <c r="D507" s="17"/>
      <c r="E507" s="18"/>
      <c r="F507" s="19"/>
    </row>
    <row r="508" spans="1:6" x14ac:dyDescent="0.2">
      <c r="A508" s="17"/>
      <c r="B508" s="17"/>
      <c r="C508" s="17"/>
      <c r="D508" s="17"/>
      <c r="E508" s="18"/>
      <c r="F508" s="19"/>
    </row>
    <row r="509" spans="1:6" x14ac:dyDescent="0.2">
      <c r="A509" s="17"/>
      <c r="B509" s="17"/>
      <c r="C509" s="17"/>
      <c r="D509" s="17"/>
      <c r="E509" s="18"/>
      <c r="F509" s="19"/>
    </row>
    <row r="510" spans="1:6" x14ac:dyDescent="0.2">
      <c r="A510" s="17"/>
      <c r="B510" s="17"/>
      <c r="C510" s="17"/>
      <c r="D510" s="17"/>
      <c r="E510" s="18"/>
      <c r="F510" s="19"/>
    </row>
    <row r="511" spans="1:6" x14ac:dyDescent="0.2">
      <c r="A511" s="17"/>
      <c r="B511" s="17"/>
      <c r="C511" s="17"/>
      <c r="D511" s="17"/>
      <c r="E511" s="18"/>
      <c r="F511" s="19"/>
    </row>
    <row r="512" spans="1:6" x14ac:dyDescent="0.2">
      <c r="A512" s="17"/>
      <c r="B512" s="17"/>
      <c r="C512" s="17"/>
      <c r="D512" s="17"/>
      <c r="E512" s="18"/>
      <c r="F512" s="19"/>
    </row>
    <row r="513" spans="1:6" x14ac:dyDescent="0.2">
      <c r="A513" s="17"/>
      <c r="B513" s="17"/>
      <c r="C513" s="17"/>
      <c r="D513" s="17"/>
      <c r="E513" s="18"/>
      <c r="F513" s="19"/>
    </row>
    <row r="514" spans="1:6" x14ac:dyDescent="0.2">
      <c r="A514" s="17"/>
      <c r="B514" s="17"/>
      <c r="C514" s="17"/>
      <c r="D514" s="17"/>
      <c r="E514" s="18"/>
      <c r="F514" s="19"/>
    </row>
    <row r="515" spans="1:6" x14ac:dyDescent="0.2">
      <c r="A515" s="17"/>
      <c r="B515" s="17"/>
      <c r="C515" s="17"/>
      <c r="D515" s="17"/>
      <c r="E515" s="18"/>
      <c r="F515" s="19"/>
    </row>
    <row r="516" spans="1:6" x14ac:dyDescent="0.2">
      <c r="A516" s="17"/>
      <c r="B516" s="17"/>
      <c r="C516" s="17"/>
      <c r="D516" s="17"/>
      <c r="E516" s="18"/>
      <c r="F516" s="19"/>
    </row>
    <row r="517" spans="1:6" x14ac:dyDescent="0.2">
      <c r="A517" s="17"/>
      <c r="B517" s="17"/>
      <c r="C517" s="17"/>
      <c r="D517" s="17"/>
      <c r="E517" s="18"/>
      <c r="F517" s="19"/>
    </row>
    <row r="518" spans="1:6" x14ac:dyDescent="0.2">
      <c r="A518" s="17"/>
      <c r="B518" s="17"/>
      <c r="C518" s="17"/>
      <c r="D518" s="17"/>
      <c r="E518" s="18"/>
      <c r="F518" s="19"/>
    </row>
    <row r="519" spans="1:6" x14ac:dyDescent="0.2">
      <c r="A519" s="17"/>
      <c r="B519" s="17"/>
      <c r="C519" s="17"/>
      <c r="D519" s="17"/>
      <c r="E519" s="18"/>
      <c r="F519" s="19"/>
    </row>
    <row r="520" spans="1:6" x14ac:dyDescent="0.2">
      <c r="A520" s="17"/>
      <c r="B520" s="17"/>
      <c r="C520" s="17"/>
      <c r="D520" s="17"/>
      <c r="E520" s="18"/>
      <c r="F520" s="19"/>
    </row>
    <row r="521" spans="1:6" x14ac:dyDescent="0.2">
      <c r="A521" s="17"/>
      <c r="B521" s="17"/>
      <c r="C521" s="17"/>
      <c r="D521" s="17"/>
      <c r="E521" s="18"/>
      <c r="F521" s="19"/>
    </row>
    <row r="522" spans="1:6" x14ac:dyDescent="0.2">
      <c r="A522" s="17"/>
      <c r="B522" s="17"/>
      <c r="C522" s="17"/>
      <c r="D522" s="17"/>
      <c r="E522" s="18"/>
      <c r="F522" s="19"/>
    </row>
    <row r="523" spans="1:6" x14ac:dyDescent="0.2">
      <c r="A523" s="17"/>
      <c r="B523" s="17"/>
      <c r="C523" s="17"/>
      <c r="D523" s="17"/>
      <c r="E523" s="18"/>
      <c r="F523" s="19"/>
    </row>
    <row r="524" spans="1:6" x14ac:dyDescent="0.2">
      <c r="A524" s="17"/>
      <c r="B524" s="17"/>
      <c r="C524" s="17"/>
      <c r="D524" s="17"/>
      <c r="E524" s="18"/>
      <c r="F524" s="19"/>
    </row>
    <row r="525" spans="1:6" x14ac:dyDescent="0.2">
      <c r="A525" s="17"/>
      <c r="B525" s="17"/>
      <c r="C525" s="17"/>
      <c r="D525" s="17"/>
      <c r="E525" s="18"/>
      <c r="F525" s="19"/>
    </row>
    <row r="526" spans="1:6" x14ac:dyDescent="0.2">
      <c r="A526" s="17"/>
      <c r="B526" s="17"/>
      <c r="C526" s="17"/>
      <c r="D526" s="17"/>
      <c r="E526" s="18"/>
      <c r="F526" s="19"/>
    </row>
    <row r="527" spans="1:6" x14ac:dyDescent="0.2">
      <c r="A527" s="17"/>
      <c r="B527" s="17"/>
      <c r="C527" s="17"/>
      <c r="D527" s="17"/>
      <c r="E527" s="18"/>
      <c r="F527" s="19"/>
    </row>
    <row r="528" spans="1:6" x14ac:dyDescent="0.2">
      <c r="A528" s="17"/>
      <c r="B528" s="17"/>
      <c r="C528" s="17"/>
      <c r="D528" s="17"/>
      <c r="E528" s="18"/>
      <c r="F528" s="19"/>
    </row>
    <row r="529" spans="1:6" x14ac:dyDescent="0.2">
      <c r="A529" s="17"/>
      <c r="B529" s="17"/>
      <c r="C529" s="17"/>
      <c r="D529" s="17"/>
      <c r="E529" s="18"/>
      <c r="F529" s="19"/>
    </row>
    <row r="530" spans="1:6" x14ac:dyDescent="0.2">
      <c r="A530" s="17"/>
      <c r="B530" s="17"/>
      <c r="C530" s="17"/>
      <c r="D530" s="17"/>
      <c r="E530" s="18"/>
      <c r="F530" s="19"/>
    </row>
    <row r="531" spans="1:6" x14ac:dyDescent="0.2">
      <c r="A531" s="17"/>
      <c r="B531" s="17"/>
      <c r="C531" s="17"/>
      <c r="D531" s="17"/>
      <c r="E531" s="18"/>
      <c r="F531" s="19"/>
    </row>
    <row r="532" spans="1:6" x14ac:dyDescent="0.2">
      <c r="A532" s="17"/>
      <c r="B532" s="17"/>
      <c r="C532" s="17"/>
      <c r="D532" s="17"/>
      <c r="E532" s="18"/>
      <c r="F532" s="19"/>
    </row>
    <row r="533" spans="1:6" x14ac:dyDescent="0.2">
      <c r="A533" s="17"/>
      <c r="B533" s="17"/>
      <c r="C533" s="17"/>
      <c r="D533" s="17"/>
      <c r="E533" s="18"/>
      <c r="F533" s="19"/>
    </row>
    <row r="534" spans="1:6" x14ac:dyDescent="0.2">
      <c r="A534" s="17"/>
      <c r="B534" s="17"/>
      <c r="C534" s="17"/>
      <c r="D534" s="17"/>
      <c r="E534" s="18"/>
      <c r="F534" s="19"/>
    </row>
    <row r="535" spans="1:6" x14ac:dyDescent="0.2">
      <c r="A535" s="17"/>
      <c r="B535" s="17"/>
      <c r="C535" s="17"/>
      <c r="D535" s="17"/>
      <c r="E535" s="18"/>
      <c r="F535" s="19"/>
    </row>
    <row r="536" spans="1:6" x14ac:dyDescent="0.2">
      <c r="A536" s="17"/>
      <c r="B536" s="17"/>
      <c r="C536" s="17"/>
      <c r="D536" s="17"/>
      <c r="E536" s="18"/>
      <c r="F536" s="19"/>
    </row>
    <row r="537" spans="1:6" x14ac:dyDescent="0.2">
      <c r="A537" s="17"/>
      <c r="B537" s="17"/>
      <c r="C537" s="17"/>
      <c r="D537" s="17"/>
      <c r="E537" s="18"/>
      <c r="F537" s="19"/>
    </row>
    <row r="538" spans="1:6" x14ac:dyDescent="0.2">
      <c r="A538" s="17"/>
      <c r="B538" s="17"/>
      <c r="C538" s="17"/>
      <c r="D538" s="17"/>
      <c r="E538" s="18"/>
      <c r="F538" s="19"/>
    </row>
    <row r="539" spans="1:6" x14ac:dyDescent="0.2">
      <c r="A539" s="17"/>
      <c r="B539" s="17"/>
      <c r="C539" s="17"/>
      <c r="D539" s="17"/>
      <c r="E539" s="18"/>
      <c r="F539" s="19"/>
    </row>
    <row r="540" spans="1:6" x14ac:dyDescent="0.2">
      <c r="A540" s="17"/>
      <c r="B540" s="17"/>
      <c r="C540" s="17"/>
      <c r="D540" s="17"/>
      <c r="E540" s="18"/>
      <c r="F540" s="19"/>
    </row>
    <row r="541" spans="1:6" x14ac:dyDescent="0.2">
      <c r="A541" s="17"/>
      <c r="B541" s="17"/>
      <c r="C541" s="17"/>
      <c r="D541" s="17"/>
      <c r="E541" s="18"/>
      <c r="F541" s="19"/>
    </row>
    <row r="542" spans="1:6" x14ac:dyDescent="0.2">
      <c r="A542" s="17"/>
      <c r="B542" s="17"/>
      <c r="C542" s="17"/>
      <c r="D542" s="17"/>
      <c r="E542" s="18"/>
      <c r="F542" s="19"/>
    </row>
    <row r="543" spans="1:6" x14ac:dyDescent="0.2">
      <c r="A543" s="17"/>
      <c r="B543" s="17"/>
      <c r="C543" s="17"/>
      <c r="D543" s="17"/>
      <c r="E543" s="18"/>
      <c r="F543" s="19"/>
    </row>
    <row r="544" spans="1:6" x14ac:dyDescent="0.2">
      <c r="A544" s="17"/>
      <c r="B544" s="17"/>
      <c r="C544" s="17"/>
      <c r="D544" s="17"/>
      <c r="E544" s="18"/>
      <c r="F544" s="19"/>
    </row>
    <row r="545" spans="1:6" x14ac:dyDescent="0.2">
      <c r="A545" s="17"/>
      <c r="B545" s="17"/>
      <c r="C545" s="17"/>
      <c r="D545" s="17"/>
      <c r="E545" s="18"/>
      <c r="F545" s="19"/>
    </row>
    <row r="546" spans="1:6" x14ac:dyDescent="0.2">
      <c r="A546" s="17"/>
      <c r="B546" s="17"/>
      <c r="C546" s="17"/>
      <c r="D546" s="17"/>
      <c r="E546" s="18"/>
      <c r="F546" s="19"/>
    </row>
    <row r="547" spans="1:6" x14ac:dyDescent="0.2">
      <c r="A547" s="17"/>
      <c r="B547" s="17"/>
      <c r="C547" s="17"/>
      <c r="D547" s="17"/>
      <c r="E547" s="18"/>
      <c r="F547" s="19"/>
    </row>
    <row r="548" spans="1:6" x14ac:dyDescent="0.2">
      <c r="A548" s="17"/>
      <c r="B548" s="17"/>
      <c r="C548" s="17"/>
      <c r="D548" s="17"/>
      <c r="E548" s="18"/>
      <c r="F548" s="19"/>
    </row>
    <row r="549" spans="1:6" x14ac:dyDescent="0.2">
      <c r="A549" s="17"/>
      <c r="B549" s="17"/>
      <c r="C549" s="17"/>
      <c r="D549" s="17"/>
      <c r="E549" s="18"/>
      <c r="F549" s="19"/>
    </row>
    <row r="550" spans="1:6" x14ac:dyDescent="0.2">
      <c r="A550" s="17"/>
      <c r="B550" s="17"/>
      <c r="C550" s="17"/>
      <c r="D550" s="17"/>
      <c r="E550" s="18"/>
      <c r="F550" s="19"/>
    </row>
    <row r="551" spans="1:6" x14ac:dyDescent="0.2">
      <c r="A551" s="17"/>
      <c r="B551" s="17"/>
      <c r="C551" s="17"/>
      <c r="D551" s="17"/>
      <c r="E551" s="18"/>
      <c r="F551" s="19"/>
    </row>
    <row r="552" spans="1:6" x14ac:dyDescent="0.2">
      <c r="A552" s="17"/>
      <c r="B552" s="17"/>
      <c r="C552" s="17"/>
      <c r="D552" s="17"/>
      <c r="E552" s="18"/>
      <c r="F552" s="19"/>
    </row>
    <row r="553" spans="1:6" x14ac:dyDescent="0.2">
      <c r="A553" s="17"/>
      <c r="B553" s="17"/>
      <c r="C553" s="17"/>
      <c r="D553" s="17"/>
      <c r="E553" s="18"/>
      <c r="F553" s="19"/>
    </row>
    <row r="554" spans="1:6" x14ac:dyDescent="0.2">
      <c r="A554" s="17"/>
      <c r="B554" s="17"/>
      <c r="C554" s="17"/>
      <c r="D554" s="17"/>
      <c r="E554" s="18"/>
      <c r="F554" s="19"/>
    </row>
    <row r="555" spans="1:6" x14ac:dyDescent="0.2">
      <c r="A555" s="17"/>
      <c r="B555" s="17"/>
      <c r="C555" s="17"/>
      <c r="D555" s="17"/>
      <c r="E555" s="18"/>
      <c r="F555" s="19"/>
    </row>
    <row r="556" spans="1:6" x14ac:dyDescent="0.2">
      <c r="A556" s="17"/>
      <c r="B556" s="17"/>
      <c r="C556" s="17"/>
      <c r="D556" s="17"/>
      <c r="E556" s="18"/>
      <c r="F556" s="19"/>
    </row>
    <row r="557" spans="1:6" x14ac:dyDescent="0.2">
      <c r="A557" s="17"/>
      <c r="B557" s="17"/>
      <c r="C557" s="17"/>
      <c r="D557" s="17"/>
      <c r="E557" s="18"/>
      <c r="F557" s="19"/>
    </row>
    <row r="558" spans="1:6" x14ac:dyDescent="0.2">
      <c r="A558" s="17"/>
      <c r="B558" s="17"/>
      <c r="C558" s="17"/>
      <c r="D558" s="17"/>
      <c r="E558" s="18"/>
      <c r="F558" s="19"/>
    </row>
    <row r="559" spans="1:6" x14ac:dyDescent="0.2">
      <c r="A559" s="17"/>
      <c r="B559" s="17"/>
      <c r="C559" s="17"/>
      <c r="D559" s="17"/>
      <c r="E559" s="18"/>
      <c r="F559" s="19"/>
    </row>
    <row r="560" spans="1:6" x14ac:dyDescent="0.2">
      <c r="A560" s="17"/>
      <c r="B560" s="17"/>
      <c r="C560" s="17"/>
      <c r="D560" s="17"/>
      <c r="E560" s="18"/>
      <c r="F560" s="19"/>
    </row>
    <row r="561" spans="1:6" x14ac:dyDescent="0.2">
      <c r="A561" s="17"/>
      <c r="B561" s="17"/>
      <c r="C561" s="17"/>
      <c r="D561" s="17"/>
      <c r="E561" s="18"/>
      <c r="F561" s="19"/>
    </row>
    <row r="562" spans="1:6" x14ac:dyDescent="0.2">
      <c r="A562" s="17"/>
      <c r="B562" s="17"/>
      <c r="C562" s="17"/>
      <c r="D562" s="17"/>
      <c r="E562" s="18"/>
      <c r="F562" s="19"/>
    </row>
    <row r="563" spans="1:6" x14ac:dyDescent="0.2">
      <c r="A563" s="17"/>
      <c r="B563" s="17"/>
      <c r="C563" s="17"/>
      <c r="D563" s="17"/>
      <c r="E563" s="18"/>
      <c r="F563" s="19"/>
    </row>
    <row r="564" spans="1:6" x14ac:dyDescent="0.2">
      <c r="A564" s="17"/>
      <c r="B564" s="17"/>
      <c r="C564" s="17"/>
      <c r="D564" s="17"/>
      <c r="E564" s="18"/>
      <c r="F564" s="19"/>
    </row>
    <row r="565" spans="1:6" x14ac:dyDescent="0.2">
      <c r="A565" s="17"/>
      <c r="B565" s="17"/>
      <c r="C565" s="17"/>
      <c r="D565" s="17"/>
      <c r="E565" s="18"/>
      <c r="F565" s="19"/>
    </row>
    <row r="566" spans="1:6" x14ac:dyDescent="0.2">
      <c r="A566" s="17"/>
      <c r="B566" s="17"/>
      <c r="C566" s="17"/>
      <c r="D566" s="17"/>
      <c r="E566" s="18"/>
      <c r="F566" s="19"/>
    </row>
    <row r="567" spans="1:6" x14ac:dyDescent="0.2">
      <c r="A567" s="17"/>
      <c r="B567" s="17"/>
      <c r="C567" s="17"/>
      <c r="D567" s="17"/>
      <c r="E567" s="18"/>
      <c r="F567" s="19"/>
    </row>
    <row r="568" spans="1:6" x14ac:dyDescent="0.2">
      <c r="A568" s="17"/>
      <c r="B568" s="17"/>
      <c r="C568" s="17"/>
      <c r="D568" s="17"/>
      <c r="E568" s="18"/>
      <c r="F568" s="19"/>
    </row>
    <row r="569" spans="1:6" x14ac:dyDescent="0.2">
      <c r="A569" s="17"/>
      <c r="B569" s="17"/>
      <c r="C569" s="17"/>
      <c r="D569" s="17"/>
      <c r="E569" s="18"/>
      <c r="F569" s="19"/>
    </row>
    <row r="570" spans="1:6" x14ac:dyDescent="0.2">
      <c r="A570" s="17"/>
      <c r="B570" s="17"/>
      <c r="C570" s="17"/>
      <c r="D570" s="17"/>
      <c r="E570" s="18"/>
      <c r="F570" s="19"/>
    </row>
    <row r="571" spans="1:6" x14ac:dyDescent="0.2">
      <c r="A571" s="17"/>
      <c r="B571" s="17"/>
      <c r="C571" s="17"/>
      <c r="D571" s="17"/>
      <c r="E571" s="18"/>
      <c r="F571" s="19"/>
    </row>
    <row r="572" spans="1:6" x14ac:dyDescent="0.2">
      <c r="A572" s="17"/>
      <c r="B572" s="17"/>
      <c r="C572" s="17"/>
      <c r="D572" s="17"/>
      <c r="E572" s="18"/>
      <c r="F572" s="19"/>
    </row>
    <row r="573" spans="1:6" x14ac:dyDescent="0.2">
      <c r="A573" s="17"/>
      <c r="B573" s="17"/>
      <c r="C573" s="17"/>
      <c r="D573" s="17"/>
      <c r="E573" s="18"/>
      <c r="F573" s="19"/>
    </row>
    <row r="574" spans="1:6" x14ac:dyDescent="0.2">
      <c r="A574" s="17"/>
      <c r="B574" s="17"/>
      <c r="C574" s="17"/>
      <c r="D574" s="17"/>
      <c r="E574" s="18"/>
      <c r="F574" s="19"/>
    </row>
    <row r="575" spans="1:6" x14ac:dyDescent="0.2">
      <c r="A575" s="17"/>
      <c r="B575" s="17"/>
      <c r="C575" s="17"/>
      <c r="D575" s="17"/>
      <c r="E575" s="18"/>
      <c r="F575" s="19"/>
    </row>
    <row r="576" spans="1:6" x14ac:dyDescent="0.2">
      <c r="A576" s="17"/>
      <c r="B576" s="17"/>
      <c r="C576" s="17"/>
      <c r="D576" s="17"/>
      <c r="E576" s="18"/>
      <c r="F576" s="19"/>
    </row>
    <row r="577" spans="1:6" x14ac:dyDescent="0.2">
      <c r="A577" s="17"/>
      <c r="B577" s="17"/>
      <c r="C577" s="17"/>
      <c r="D577" s="17"/>
      <c r="E577" s="18"/>
      <c r="F577" s="19"/>
    </row>
    <row r="578" spans="1:6" x14ac:dyDescent="0.2">
      <c r="A578" s="17"/>
      <c r="B578" s="17"/>
      <c r="C578" s="17"/>
      <c r="D578" s="17"/>
      <c r="E578" s="18"/>
      <c r="F578" s="19"/>
    </row>
    <row r="579" spans="1:6" x14ac:dyDescent="0.2">
      <c r="A579" s="17"/>
      <c r="B579" s="17"/>
      <c r="C579" s="17"/>
      <c r="D579" s="17"/>
      <c r="E579" s="18"/>
      <c r="F579" s="19"/>
    </row>
    <row r="580" spans="1:6" x14ac:dyDescent="0.2">
      <c r="A580" s="17"/>
      <c r="B580" s="17"/>
      <c r="C580" s="17"/>
      <c r="D580" s="17"/>
      <c r="E580" s="18"/>
      <c r="F580" s="19"/>
    </row>
    <row r="581" spans="1:6" x14ac:dyDescent="0.2">
      <c r="A581" s="17"/>
      <c r="B581" s="17"/>
      <c r="C581" s="17"/>
      <c r="D581" s="17"/>
      <c r="E581" s="18"/>
      <c r="F581" s="19"/>
    </row>
    <row r="582" spans="1:6" x14ac:dyDescent="0.2">
      <c r="A582" s="17"/>
      <c r="B582" s="17"/>
      <c r="C582" s="17"/>
      <c r="D582" s="17"/>
      <c r="E582" s="18"/>
      <c r="F582" s="19"/>
    </row>
    <row r="583" spans="1:6" x14ac:dyDescent="0.2">
      <c r="A583" s="17"/>
      <c r="B583" s="17"/>
      <c r="C583" s="17"/>
      <c r="D583" s="17"/>
      <c r="E583" s="18"/>
      <c r="F583" s="19"/>
    </row>
    <row r="584" spans="1:6" x14ac:dyDescent="0.2">
      <c r="A584" s="17"/>
      <c r="B584" s="17"/>
      <c r="C584" s="17"/>
      <c r="D584" s="17"/>
      <c r="E584" s="18"/>
      <c r="F584" s="19"/>
    </row>
    <row r="585" spans="1:6" x14ac:dyDescent="0.2">
      <c r="A585" s="17"/>
      <c r="B585" s="17"/>
      <c r="C585" s="17"/>
      <c r="D585" s="17"/>
      <c r="E585" s="18"/>
      <c r="F585" s="19"/>
    </row>
    <row r="586" spans="1:6" x14ac:dyDescent="0.2">
      <c r="A586" s="17"/>
      <c r="B586" s="17"/>
      <c r="C586" s="17"/>
      <c r="D586" s="17"/>
      <c r="E586" s="18"/>
      <c r="F586" s="19"/>
    </row>
    <row r="587" spans="1:6" x14ac:dyDescent="0.2">
      <c r="A587" s="17"/>
      <c r="B587" s="17"/>
      <c r="C587" s="17"/>
      <c r="D587" s="17"/>
      <c r="E587" s="18"/>
      <c r="F587" s="19"/>
    </row>
    <row r="588" spans="1:6" x14ac:dyDescent="0.2">
      <c r="A588" s="17"/>
      <c r="B588" s="17"/>
      <c r="C588" s="17"/>
      <c r="D588" s="17"/>
      <c r="E588" s="18"/>
      <c r="F588" s="19"/>
    </row>
    <row r="589" spans="1:6" x14ac:dyDescent="0.2">
      <c r="A589" s="17"/>
      <c r="B589" s="17"/>
      <c r="C589" s="17"/>
      <c r="D589" s="17"/>
      <c r="E589" s="18"/>
      <c r="F589" s="19"/>
    </row>
    <row r="590" spans="1:6" x14ac:dyDescent="0.2">
      <c r="A590" s="17"/>
      <c r="B590" s="17"/>
      <c r="C590" s="17"/>
      <c r="D590" s="17"/>
      <c r="E590" s="18"/>
      <c r="F590" s="19"/>
    </row>
    <row r="591" spans="1:6" x14ac:dyDescent="0.2">
      <c r="A591" s="17"/>
      <c r="B591" s="17"/>
      <c r="C591" s="17"/>
      <c r="D591" s="17"/>
      <c r="E591" s="18"/>
      <c r="F591" s="19"/>
    </row>
    <row r="592" spans="1:6" x14ac:dyDescent="0.2">
      <c r="A592" s="17"/>
      <c r="B592" s="17"/>
      <c r="C592" s="17"/>
      <c r="D592" s="17"/>
      <c r="E592" s="18"/>
      <c r="F592" s="19"/>
    </row>
    <row r="593" spans="1:6" x14ac:dyDescent="0.2">
      <c r="A593" s="17"/>
      <c r="B593" s="17"/>
      <c r="C593" s="17"/>
      <c r="D593" s="17"/>
      <c r="E593" s="18"/>
      <c r="F593" s="19"/>
    </row>
    <row r="594" spans="1:6" x14ac:dyDescent="0.2">
      <c r="A594" s="17"/>
      <c r="B594" s="17"/>
      <c r="C594" s="17"/>
      <c r="D594" s="17"/>
      <c r="E594" s="18"/>
      <c r="F594" s="19"/>
    </row>
    <row r="595" spans="1:6" x14ac:dyDescent="0.2">
      <c r="A595" s="17"/>
      <c r="B595" s="17"/>
      <c r="C595" s="17"/>
      <c r="D595" s="17"/>
      <c r="E595" s="18"/>
      <c r="F595" s="19"/>
    </row>
    <row r="596" spans="1:6" x14ac:dyDescent="0.2">
      <c r="A596" s="17"/>
      <c r="B596" s="17"/>
      <c r="C596" s="17"/>
      <c r="D596" s="17"/>
      <c r="E596" s="18"/>
      <c r="F596" s="19"/>
    </row>
    <row r="597" spans="1:6" x14ac:dyDescent="0.2">
      <c r="A597" s="17"/>
      <c r="B597" s="17"/>
      <c r="C597" s="17"/>
      <c r="D597" s="17"/>
      <c r="E597" s="18"/>
      <c r="F597" s="19"/>
    </row>
    <row r="598" spans="1:6" x14ac:dyDescent="0.2">
      <c r="A598" s="17"/>
      <c r="B598" s="17"/>
      <c r="C598" s="17"/>
      <c r="D598" s="17"/>
      <c r="E598" s="18"/>
      <c r="F598" s="19"/>
    </row>
    <row r="599" spans="1:6" x14ac:dyDescent="0.2">
      <c r="A599" s="17"/>
      <c r="B599" s="17"/>
      <c r="C599" s="17"/>
      <c r="D599" s="17"/>
      <c r="E599" s="18"/>
      <c r="F599" s="19"/>
    </row>
    <row r="600" spans="1:6" x14ac:dyDescent="0.2">
      <c r="A600" s="17"/>
      <c r="B600" s="17"/>
      <c r="C600" s="17"/>
      <c r="D600" s="17"/>
      <c r="E600" s="18"/>
      <c r="F600" s="19"/>
    </row>
    <row r="601" spans="1:6" x14ac:dyDescent="0.2">
      <c r="A601" s="17"/>
      <c r="B601" s="17"/>
      <c r="C601" s="17"/>
      <c r="D601" s="17"/>
      <c r="E601" s="18"/>
      <c r="F601" s="19"/>
    </row>
    <row r="602" spans="1:6" x14ac:dyDescent="0.2">
      <c r="A602" s="17"/>
      <c r="B602" s="17"/>
      <c r="C602" s="17"/>
      <c r="D602" s="17"/>
      <c r="E602" s="18"/>
      <c r="F602" s="19"/>
    </row>
    <row r="603" spans="1:6" x14ac:dyDescent="0.2">
      <c r="A603" s="17"/>
      <c r="B603" s="17"/>
      <c r="C603" s="17"/>
      <c r="D603" s="17"/>
      <c r="E603" s="18"/>
      <c r="F603" s="19"/>
    </row>
    <row r="604" spans="1:6" x14ac:dyDescent="0.2">
      <c r="A604" s="17"/>
      <c r="B604" s="17"/>
      <c r="C604" s="17"/>
      <c r="D604" s="17"/>
      <c r="E604" s="18"/>
      <c r="F604" s="19"/>
    </row>
    <row r="605" spans="1:6" x14ac:dyDescent="0.2">
      <c r="A605" s="17"/>
      <c r="B605" s="17"/>
      <c r="C605" s="17"/>
      <c r="D605" s="17"/>
      <c r="E605" s="18"/>
      <c r="F605" s="19"/>
    </row>
    <row r="606" spans="1:6" x14ac:dyDescent="0.2">
      <c r="A606" s="17"/>
      <c r="B606" s="17"/>
      <c r="C606" s="17"/>
      <c r="D606" s="17"/>
      <c r="E606" s="18"/>
      <c r="F606" s="19"/>
    </row>
    <row r="607" spans="1:6" x14ac:dyDescent="0.2">
      <c r="A607" s="17"/>
      <c r="B607" s="17"/>
      <c r="C607" s="17"/>
      <c r="D607" s="17"/>
      <c r="E607" s="18"/>
      <c r="F607" s="19"/>
    </row>
    <row r="608" spans="1:6" x14ac:dyDescent="0.2">
      <c r="A608" s="17"/>
      <c r="B608" s="17"/>
      <c r="C608" s="17"/>
      <c r="D608" s="17"/>
      <c r="E608" s="18"/>
      <c r="F608" s="19"/>
    </row>
    <row r="609" spans="1:6" x14ac:dyDescent="0.2">
      <c r="A609" s="17"/>
      <c r="B609" s="17"/>
      <c r="C609" s="17"/>
      <c r="D609" s="17"/>
      <c r="E609" s="18"/>
      <c r="F609" s="19"/>
    </row>
    <row r="610" spans="1:6" x14ac:dyDescent="0.2">
      <c r="A610" s="17"/>
      <c r="B610" s="17"/>
      <c r="C610" s="17"/>
      <c r="D610" s="17"/>
      <c r="E610" s="18"/>
      <c r="F610" s="19"/>
    </row>
    <row r="611" spans="1:6" x14ac:dyDescent="0.2">
      <c r="A611" s="17"/>
      <c r="B611" s="17"/>
      <c r="C611" s="17"/>
      <c r="D611" s="17"/>
      <c r="E611" s="18"/>
      <c r="F611" s="19"/>
    </row>
    <row r="612" spans="1:6" x14ac:dyDescent="0.2">
      <c r="A612" s="17"/>
      <c r="B612" s="17"/>
      <c r="C612" s="17"/>
      <c r="D612" s="17"/>
      <c r="E612" s="18"/>
      <c r="F612" s="19"/>
    </row>
    <row r="613" spans="1:6" x14ac:dyDescent="0.2">
      <c r="A613" s="17"/>
      <c r="B613" s="17"/>
      <c r="C613" s="17"/>
      <c r="D613" s="17"/>
      <c r="E613" s="18"/>
      <c r="F613" s="19"/>
    </row>
    <row r="614" spans="1:6" x14ac:dyDescent="0.2">
      <c r="A614" s="17"/>
      <c r="B614" s="17"/>
      <c r="C614" s="17"/>
      <c r="D614" s="17"/>
      <c r="E614" s="18"/>
      <c r="F614" s="19"/>
    </row>
    <row r="615" spans="1:6" x14ac:dyDescent="0.2">
      <c r="A615" s="17"/>
      <c r="B615" s="17"/>
      <c r="C615" s="17"/>
      <c r="D615" s="17"/>
      <c r="E615" s="18"/>
      <c r="F615" s="19"/>
    </row>
    <row r="616" spans="1:6" x14ac:dyDescent="0.2">
      <c r="A616" s="17"/>
      <c r="B616" s="17"/>
      <c r="C616" s="17"/>
      <c r="D616" s="17"/>
      <c r="E616" s="18"/>
      <c r="F616" s="19"/>
    </row>
    <row r="617" spans="1:6" x14ac:dyDescent="0.2">
      <c r="A617" s="17"/>
      <c r="B617" s="17"/>
      <c r="C617" s="17"/>
      <c r="D617" s="17"/>
      <c r="E617" s="18"/>
      <c r="F617" s="19"/>
    </row>
    <row r="618" spans="1:6" x14ac:dyDescent="0.2">
      <c r="A618" s="17"/>
      <c r="B618" s="17"/>
      <c r="C618" s="17"/>
      <c r="D618" s="17"/>
      <c r="E618" s="18"/>
      <c r="F618" s="19"/>
    </row>
    <row r="619" spans="1:6" x14ac:dyDescent="0.2">
      <c r="A619" s="17"/>
      <c r="B619" s="17"/>
      <c r="C619" s="17"/>
      <c r="D619" s="17"/>
      <c r="E619" s="18"/>
      <c r="F619" s="19"/>
    </row>
    <row r="620" spans="1:6" x14ac:dyDescent="0.2">
      <c r="A620" s="17"/>
      <c r="B620" s="17"/>
      <c r="C620" s="17"/>
      <c r="D620" s="17"/>
      <c r="E620" s="18"/>
      <c r="F620" s="19"/>
    </row>
    <row r="621" spans="1:6" x14ac:dyDescent="0.2">
      <c r="A621" s="17"/>
      <c r="B621" s="17"/>
      <c r="C621" s="17"/>
      <c r="D621" s="17"/>
      <c r="E621" s="18"/>
      <c r="F621" s="19"/>
    </row>
    <row r="622" spans="1:6" x14ac:dyDescent="0.2">
      <c r="A622" s="17"/>
      <c r="B622" s="17"/>
      <c r="C622" s="17"/>
      <c r="D622" s="17"/>
      <c r="E622" s="18"/>
      <c r="F622" s="19"/>
    </row>
    <row r="623" spans="1:6" x14ac:dyDescent="0.2">
      <c r="A623" s="17"/>
      <c r="B623" s="17"/>
      <c r="C623" s="17"/>
      <c r="D623" s="17"/>
      <c r="E623" s="18"/>
      <c r="F623" s="19"/>
    </row>
    <row r="624" spans="1:6" x14ac:dyDescent="0.2">
      <c r="A624" s="17"/>
      <c r="B624" s="17"/>
      <c r="C624" s="17"/>
      <c r="D624" s="17"/>
      <c r="E624" s="18"/>
      <c r="F624" s="19"/>
    </row>
    <row r="625" spans="1:6" x14ac:dyDescent="0.2">
      <c r="A625" s="17"/>
      <c r="B625" s="17"/>
      <c r="C625" s="17"/>
      <c r="D625" s="17"/>
      <c r="E625" s="18"/>
      <c r="F625" s="19"/>
    </row>
    <row r="626" spans="1:6" x14ac:dyDescent="0.2">
      <c r="A626" s="17"/>
      <c r="B626" s="17"/>
      <c r="C626" s="17"/>
      <c r="D626" s="17"/>
      <c r="E626" s="18"/>
      <c r="F626" s="19"/>
    </row>
    <row r="627" spans="1:6" x14ac:dyDescent="0.2">
      <c r="A627" s="17"/>
      <c r="B627" s="17"/>
      <c r="C627" s="17"/>
      <c r="D627" s="17"/>
      <c r="E627" s="18"/>
      <c r="F627" s="19"/>
    </row>
    <row r="628" spans="1:6" x14ac:dyDescent="0.2">
      <c r="A628" s="17"/>
      <c r="B628" s="17"/>
      <c r="C628" s="17"/>
      <c r="D628" s="17"/>
      <c r="E628" s="18"/>
      <c r="F628" s="19"/>
    </row>
    <row r="629" spans="1:6" x14ac:dyDescent="0.2">
      <c r="A629" s="17"/>
      <c r="B629" s="17"/>
      <c r="C629" s="17"/>
      <c r="D629" s="17"/>
      <c r="E629" s="18"/>
      <c r="F629" s="19"/>
    </row>
    <row r="630" spans="1:6" x14ac:dyDescent="0.2">
      <c r="A630" s="17"/>
      <c r="B630" s="17"/>
      <c r="C630" s="17"/>
      <c r="D630" s="17"/>
      <c r="E630" s="18"/>
      <c r="F630" s="19"/>
    </row>
    <row r="631" spans="1:6" x14ac:dyDescent="0.2">
      <c r="A631" s="17"/>
      <c r="B631" s="17"/>
      <c r="C631" s="17"/>
      <c r="D631" s="17"/>
      <c r="E631" s="18"/>
      <c r="F631" s="19"/>
    </row>
    <row r="632" spans="1:6" x14ac:dyDescent="0.2">
      <c r="A632" s="17"/>
      <c r="B632" s="17"/>
      <c r="C632" s="17"/>
      <c r="D632" s="17"/>
      <c r="E632" s="18"/>
      <c r="F632" s="19"/>
    </row>
    <row r="633" spans="1:6" x14ac:dyDescent="0.2">
      <c r="A633" s="17"/>
      <c r="B633" s="17"/>
      <c r="C633" s="17"/>
      <c r="D633" s="17"/>
      <c r="E633" s="18"/>
      <c r="F633" s="19"/>
    </row>
    <row r="634" spans="1:6" x14ac:dyDescent="0.2">
      <c r="A634" s="17"/>
      <c r="B634" s="17"/>
      <c r="C634" s="17"/>
      <c r="D634" s="17"/>
      <c r="E634" s="18"/>
      <c r="F634" s="19"/>
    </row>
    <row r="635" spans="1:6" x14ac:dyDescent="0.2">
      <c r="A635" s="17"/>
      <c r="B635" s="17"/>
      <c r="C635" s="17"/>
      <c r="D635" s="17"/>
      <c r="E635" s="18"/>
      <c r="F635" s="19"/>
    </row>
    <row r="636" spans="1:6" x14ac:dyDescent="0.2">
      <c r="A636" s="17"/>
      <c r="B636" s="17"/>
      <c r="C636" s="17"/>
      <c r="D636" s="17"/>
      <c r="E636" s="18"/>
      <c r="F636" s="19"/>
    </row>
    <row r="637" spans="1:6" x14ac:dyDescent="0.2">
      <c r="A637" s="17"/>
      <c r="B637" s="17"/>
      <c r="C637" s="17"/>
      <c r="D637" s="17"/>
      <c r="E637" s="18"/>
      <c r="F637" s="19"/>
    </row>
    <row r="638" spans="1:6" x14ac:dyDescent="0.2">
      <c r="A638" s="17"/>
      <c r="B638" s="17"/>
      <c r="C638" s="17"/>
      <c r="D638" s="17"/>
      <c r="E638" s="18"/>
      <c r="F638" s="19"/>
    </row>
    <row r="639" spans="1:6" x14ac:dyDescent="0.2">
      <c r="A639" s="17"/>
      <c r="B639" s="17"/>
      <c r="C639" s="17"/>
      <c r="D639" s="17"/>
      <c r="E639" s="18"/>
      <c r="F639" s="19"/>
    </row>
    <row r="640" spans="1:6" x14ac:dyDescent="0.2">
      <c r="A640" s="17"/>
      <c r="B640" s="17"/>
      <c r="C640" s="17"/>
      <c r="D640" s="17"/>
      <c r="E640" s="18"/>
      <c r="F640" s="19"/>
    </row>
    <row r="641" spans="1:6" x14ac:dyDescent="0.2">
      <c r="A641" s="17"/>
      <c r="B641" s="17"/>
      <c r="C641" s="17"/>
      <c r="D641" s="17"/>
      <c r="E641" s="18"/>
      <c r="F641" s="19"/>
    </row>
    <row r="642" spans="1:6" x14ac:dyDescent="0.2">
      <c r="A642" s="17"/>
      <c r="B642" s="17"/>
      <c r="C642" s="17"/>
      <c r="D642" s="17"/>
      <c r="E642" s="18"/>
      <c r="F642" s="19"/>
    </row>
    <row r="643" spans="1:6" x14ac:dyDescent="0.2">
      <c r="A643" s="17"/>
      <c r="B643" s="17"/>
      <c r="C643" s="17"/>
      <c r="D643" s="17"/>
      <c r="E643" s="18"/>
      <c r="F643" s="19"/>
    </row>
    <row r="644" spans="1:6" x14ac:dyDescent="0.2">
      <c r="A644" s="17"/>
      <c r="B644" s="17"/>
      <c r="C644" s="17"/>
      <c r="D644" s="17"/>
      <c r="E644" s="18"/>
      <c r="F644" s="19"/>
    </row>
    <row r="645" spans="1:6" x14ac:dyDescent="0.2">
      <c r="A645" s="17"/>
      <c r="B645" s="17"/>
      <c r="C645" s="17"/>
      <c r="D645" s="17"/>
      <c r="E645" s="18"/>
      <c r="F645" s="19"/>
    </row>
    <row r="646" spans="1:6" x14ac:dyDescent="0.2">
      <c r="A646" s="17"/>
      <c r="B646" s="17"/>
      <c r="C646" s="17"/>
      <c r="D646" s="17"/>
      <c r="E646" s="18"/>
      <c r="F646" s="19"/>
    </row>
    <row r="647" spans="1:6" x14ac:dyDescent="0.2">
      <c r="A647" s="17"/>
      <c r="B647" s="17"/>
      <c r="C647" s="17"/>
      <c r="D647" s="17"/>
      <c r="E647" s="18"/>
      <c r="F647" s="19"/>
    </row>
    <row r="648" spans="1:6" x14ac:dyDescent="0.2">
      <c r="A648" s="17"/>
      <c r="B648" s="17"/>
      <c r="C648" s="17"/>
      <c r="D648" s="17"/>
      <c r="E648" s="18"/>
      <c r="F648" s="19"/>
    </row>
    <row r="649" spans="1:6" x14ac:dyDescent="0.2">
      <c r="A649" s="17"/>
      <c r="B649" s="17"/>
      <c r="C649" s="17"/>
      <c r="D649" s="17"/>
      <c r="E649" s="18"/>
      <c r="F649" s="19"/>
    </row>
    <row r="650" spans="1:6" x14ac:dyDescent="0.2">
      <c r="A650" s="17"/>
      <c r="B650" s="17"/>
      <c r="C650" s="17"/>
      <c r="D650" s="17"/>
      <c r="E650" s="18"/>
      <c r="F650" s="19"/>
    </row>
    <row r="651" spans="1:6" x14ac:dyDescent="0.2">
      <c r="A651" s="17"/>
      <c r="B651" s="17"/>
      <c r="C651" s="17"/>
      <c r="D651" s="17"/>
      <c r="E651" s="18"/>
      <c r="F651" s="19"/>
    </row>
    <row r="652" spans="1:6" x14ac:dyDescent="0.2">
      <c r="A652" s="17"/>
      <c r="B652" s="17"/>
      <c r="C652" s="17"/>
      <c r="D652" s="17"/>
      <c r="E652" s="18"/>
      <c r="F652" s="19"/>
    </row>
    <row r="653" spans="1:6" x14ac:dyDescent="0.2">
      <c r="A653" s="17"/>
      <c r="B653" s="17"/>
      <c r="C653" s="17"/>
      <c r="D653" s="17"/>
      <c r="E653" s="18"/>
      <c r="F653" s="19"/>
    </row>
    <row r="654" spans="1:6" x14ac:dyDescent="0.2">
      <c r="A654" s="17"/>
      <c r="B654" s="17"/>
      <c r="C654" s="17"/>
      <c r="D654" s="17"/>
      <c r="E654" s="18"/>
      <c r="F654" s="19"/>
    </row>
    <row r="655" spans="1:6" x14ac:dyDescent="0.2">
      <c r="A655" s="17"/>
      <c r="B655" s="17"/>
      <c r="C655" s="17"/>
      <c r="D655" s="17"/>
      <c r="E655" s="18"/>
      <c r="F655" s="19"/>
    </row>
    <row r="656" spans="1:6" x14ac:dyDescent="0.2">
      <c r="A656" s="17"/>
      <c r="B656" s="17"/>
      <c r="C656" s="17"/>
      <c r="D656" s="17"/>
      <c r="E656" s="18"/>
      <c r="F656" s="19"/>
    </row>
    <row r="657" spans="1:6" x14ac:dyDescent="0.2">
      <c r="A657" s="17"/>
      <c r="B657" s="17"/>
      <c r="C657" s="17"/>
      <c r="D657" s="17"/>
      <c r="E657" s="18"/>
      <c r="F657" s="19"/>
    </row>
    <row r="658" spans="1:6" x14ac:dyDescent="0.2">
      <c r="A658" s="17"/>
      <c r="B658" s="17"/>
      <c r="C658" s="17"/>
      <c r="D658" s="17"/>
      <c r="E658" s="18"/>
      <c r="F658" s="19"/>
    </row>
    <row r="659" spans="1:6" x14ac:dyDescent="0.2">
      <c r="A659" s="17"/>
      <c r="B659" s="17"/>
      <c r="C659" s="17"/>
      <c r="D659" s="17"/>
      <c r="E659" s="18"/>
      <c r="F659" s="19"/>
    </row>
    <row r="660" spans="1:6" x14ac:dyDescent="0.2">
      <c r="A660" s="17"/>
      <c r="B660" s="17"/>
      <c r="C660" s="17"/>
      <c r="D660" s="17"/>
      <c r="E660" s="18"/>
      <c r="F660" s="19"/>
    </row>
    <row r="661" spans="1:6" x14ac:dyDescent="0.2">
      <c r="A661" s="17"/>
      <c r="B661" s="17"/>
      <c r="C661" s="17"/>
      <c r="D661" s="17"/>
      <c r="E661" s="18"/>
      <c r="F661" s="19"/>
    </row>
    <row r="662" spans="1:6" x14ac:dyDescent="0.2">
      <c r="A662" s="17"/>
      <c r="B662" s="17"/>
      <c r="C662" s="17"/>
      <c r="D662" s="17"/>
      <c r="E662" s="18"/>
      <c r="F662" s="19"/>
    </row>
    <row r="663" spans="1:6" x14ac:dyDescent="0.2">
      <c r="A663" s="17"/>
      <c r="B663" s="17"/>
      <c r="C663" s="17"/>
      <c r="D663" s="17"/>
      <c r="E663" s="18"/>
      <c r="F663" s="19"/>
    </row>
    <row r="664" spans="1:6" x14ac:dyDescent="0.2">
      <c r="A664" s="17"/>
      <c r="B664" s="17"/>
      <c r="C664" s="17"/>
      <c r="D664" s="17"/>
      <c r="E664" s="18"/>
      <c r="F664" s="19"/>
    </row>
    <row r="665" spans="1:6" x14ac:dyDescent="0.2">
      <c r="A665" s="17"/>
      <c r="B665" s="17"/>
      <c r="C665" s="17"/>
      <c r="D665" s="17"/>
      <c r="E665" s="18"/>
      <c r="F665" s="19"/>
    </row>
    <row r="666" spans="1:6" x14ac:dyDescent="0.2">
      <c r="A666" s="17"/>
      <c r="B666" s="17"/>
      <c r="C666" s="17"/>
      <c r="D666" s="17"/>
      <c r="E666" s="18"/>
      <c r="F666" s="19"/>
    </row>
    <row r="667" spans="1:6" x14ac:dyDescent="0.2">
      <c r="A667" s="17"/>
      <c r="B667" s="17"/>
      <c r="C667" s="17"/>
      <c r="D667" s="17"/>
      <c r="E667" s="18"/>
      <c r="F667" s="19"/>
    </row>
    <row r="668" spans="1:6" x14ac:dyDescent="0.2">
      <c r="A668" s="17"/>
      <c r="B668" s="17"/>
      <c r="C668" s="17"/>
      <c r="D668" s="17"/>
      <c r="E668" s="18"/>
      <c r="F668" s="19"/>
    </row>
    <row r="669" spans="1:6" x14ac:dyDescent="0.2">
      <c r="A669" s="17"/>
      <c r="B669" s="17"/>
      <c r="C669" s="17"/>
      <c r="D669" s="17"/>
      <c r="E669" s="18"/>
      <c r="F669" s="19"/>
    </row>
    <row r="670" spans="1:6" x14ac:dyDescent="0.2">
      <c r="A670" s="17"/>
      <c r="B670" s="17"/>
      <c r="C670" s="17"/>
      <c r="D670" s="17"/>
      <c r="E670" s="18"/>
      <c r="F670" s="19"/>
    </row>
    <row r="671" spans="1:6" x14ac:dyDescent="0.2">
      <c r="A671" s="17"/>
      <c r="B671" s="17"/>
      <c r="C671" s="17"/>
      <c r="D671" s="17"/>
      <c r="E671" s="18"/>
      <c r="F671" s="19"/>
    </row>
    <row r="672" spans="1:6" x14ac:dyDescent="0.2">
      <c r="A672" s="17"/>
      <c r="B672" s="17"/>
      <c r="C672" s="17"/>
      <c r="D672" s="17"/>
      <c r="E672" s="18"/>
      <c r="F672" s="19"/>
    </row>
    <row r="673" spans="1:6" x14ac:dyDescent="0.2">
      <c r="A673" s="17"/>
      <c r="B673" s="17"/>
      <c r="C673" s="17"/>
      <c r="D673" s="17"/>
      <c r="E673" s="18"/>
      <c r="F673" s="19"/>
    </row>
    <row r="674" spans="1:6" x14ac:dyDescent="0.2">
      <c r="A674" s="17"/>
      <c r="B674" s="17"/>
      <c r="C674" s="17"/>
      <c r="D674" s="17"/>
      <c r="E674" s="18"/>
      <c r="F674" s="19"/>
    </row>
    <row r="675" spans="1:6" x14ac:dyDescent="0.2">
      <c r="A675" s="17"/>
      <c r="B675" s="17"/>
      <c r="C675" s="17"/>
      <c r="D675" s="17"/>
      <c r="E675" s="18"/>
      <c r="F675" s="19"/>
    </row>
    <row r="676" spans="1:6" x14ac:dyDescent="0.2">
      <c r="A676" s="17"/>
      <c r="B676" s="17"/>
      <c r="C676" s="17"/>
      <c r="D676" s="17"/>
      <c r="E676" s="18"/>
      <c r="F676" s="19"/>
    </row>
    <row r="677" spans="1:6" x14ac:dyDescent="0.2">
      <c r="A677" s="17"/>
      <c r="B677" s="17"/>
      <c r="C677" s="17"/>
      <c r="D677" s="17"/>
      <c r="E677" s="18"/>
      <c r="F677" s="19"/>
    </row>
    <row r="678" spans="1:6" x14ac:dyDescent="0.2">
      <c r="A678" s="17"/>
      <c r="B678" s="17"/>
      <c r="C678" s="17"/>
      <c r="D678" s="17"/>
      <c r="E678" s="18"/>
      <c r="F678" s="19"/>
    </row>
    <row r="679" spans="1:6" x14ac:dyDescent="0.2">
      <c r="A679" s="17"/>
      <c r="B679" s="17"/>
      <c r="C679" s="17"/>
      <c r="D679" s="17"/>
      <c r="E679" s="18"/>
      <c r="F679" s="19"/>
    </row>
    <row r="680" spans="1:6" x14ac:dyDescent="0.2">
      <c r="A680" s="17"/>
      <c r="B680" s="17"/>
      <c r="C680" s="17"/>
      <c r="D680" s="17"/>
      <c r="E680" s="18"/>
      <c r="F680" s="19"/>
    </row>
    <row r="681" spans="1:6" x14ac:dyDescent="0.2">
      <c r="A681" s="17"/>
      <c r="B681" s="17"/>
      <c r="C681" s="17"/>
      <c r="D681" s="17"/>
      <c r="E681" s="18"/>
      <c r="F681" s="19"/>
    </row>
    <row r="682" spans="1:6" x14ac:dyDescent="0.2">
      <c r="A682" s="17"/>
      <c r="B682" s="17"/>
      <c r="C682" s="17"/>
      <c r="D682" s="17"/>
      <c r="E682" s="18"/>
      <c r="F682" s="19"/>
    </row>
    <row r="683" spans="1:6" x14ac:dyDescent="0.2">
      <c r="A683" s="17"/>
      <c r="B683" s="17"/>
      <c r="C683" s="17"/>
      <c r="D683" s="17"/>
      <c r="E683" s="18"/>
      <c r="F683" s="19"/>
    </row>
    <row r="684" spans="1:6" x14ac:dyDescent="0.2">
      <c r="A684" s="17"/>
      <c r="B684" s="17"/>
      <c r="C684" s="17"/>
      <c r="D684" s="17"/>
      <c r="E684" s="18"/>
      <c r="F684" s="19"/>
    </row>
    <row r="685" spans="1:6" x14ac:dyDescent="0.2">
      <c r="A685" s="17"/>
      <c r="B685" s="17"/>
      <c r="C685" s="17"/>
      <c r="D685" s="17"/>
      <c r="E685" s="18"/>
      <c r="F685" s="19"/>
    </row>
    <row r="686" spans="1:6" x14ac:dyDescent="0.2">
      <c r="A686" s="17"/>
      <c r="B686" s="17"/>
      <c r="C686" s="17"/>
      <c r="D686" s="17"/>
      <c r="E686" s="18"/>
      <c r="F686" s="19"/>
    </row>
    <row r="687" spans="1:6" x14ac:dyDescent="0.2">
      <c r="A687" s="17"/>
      <c r="B687" s="17"/>
      <c r="C687" s="17"/>
      <c r="D687" s="17"/>
      <c r="E687" s="18"/>
      <c r="F687" s="19"/>
    </row>
    <row r="688" spans="1:6" x14ac:dyDescent="0.2">
      <c r="A688" s="17"/>
      <c r="B688" s="17"/>
      <c r="C688" s="17"/>
      <c r="D688" s="17"/>
      <c r="E688" s="18"/>
      <c r="F688" s="19"/>
    </row>
    <row r="689" spans="1:6" x14ac:dyDescent="0.2">
      <c r="A689" s="17"/>
      <c r="B689" s="17"/>
      <c r="C689" s="17"/>
      <c r="D689" s="17"/>
      <c r="E689" s="18"/>
      <c r="F689" s="19"/>
    </row>
    <row r="690" spans="1:6" x14ac:dyDescent="0.2">
      <c r="A690" s="17"/>
      <c r="B690" s="17"/>
      <c r="C690" s="17"/>
      <c r="D690" s="17"/>
      <c r="E690" s="18"/>
      <c r="F690" s="19"/>
    </row>
    <row r="691" spans="1:6" x14ac:dyDescent="0.2">
      <c r="A691" s="17"/>
      <c r="B691" s="17"/>
      <c r="C691" s="17"/>
      <c r="D691" s="17"/>
      <c r="E691" s="18"/>
      <c r="F691" s="19"/>
    </row>
    <row r="692" spans="1:6" x14ac:dyDescent="0.2">
      <c r="A692" s="17"/>
      <c r="B692" s="17"/>
      <c r="C692" s="17"/>
      <c r="D692" s="17"/>
      <c r="E692" s="18"/>
      <c r="F692" s="19"/>
    </row>
    <row r="693" spans="1:6" x14ac:dyDescent="0.2">
      <c r="A693" s="17"/>
      <c r="B693" s="17"/>
      <c r="C693" s="17"/>
      <c r="D693" s="17"/>
      <c r="E693" s="18"/>
      <c r="F693" s="19"/>
    </row>
    <row r="694" spans="1:6" x14ac:dyDescent="0.2">
      <c r="A694" s="17"/>
      <c r="B694" s="17"/>
      <c r="C694" s="17"/>
      <c r="D694" s="17"/>
      <c r="E694" s="18"/>
      <c r="F694" s="19"/>
    </row>
    <row r="695" spans="1:6" x14ac:dyDescent="0.2">
      <c r="A695" s="17"/>
      <c r="B695" s="17"/>
      <c r="C695" s="17"/>
      <c r="D695" s="17"/>
      <c r="E695" s="18"/>
      <c r="F695" s="19"/>
    </row>
    <row r="696" spans="1:6" x14ac:dyDescent="0.2">
      <c r="A696" s="17"/>
      <c r="B696" s="17"/>
      <c r="C696" s="17"/>
      <c r="D696" s="17"/>
      <c r="E696" s="18"/>
      <c r="F696" s="19"/>
    </row>
    <row r="697" spans="1:6" x14ac:dyDescent="0.2">
      <c r="A697" s="17"/>
      <c r="B697" s="17"/>
      <c r="C697" s="17"/>
      <c r="D697" s="17"/>
      <c r="E697" s="18"/>
      <c r="F697" s="19"/>
    </row>
    <row r="698" spans="1:6" x14ac:dyDescent="0.2">
      <c r="A698" s="17"/>
      <c r="B698" s="17"/>
      <c r="C698" s="17"/>
      <c r="D698" s="17"/>
      <c r="E698" s="18"/>
      <c r="F698" s="19"/>
    </row>
    <row r="699" spans="1:6" x14ac:dyDescent="0.2">
      <c r="A699" s="17"/>
      <c r="B699" s="17"/>
      <c r="C699" s="17"/>
      <c r="D699" s="17"/>
      <c r="E699" s="18"/>
      <c r="F699" s="19"/>
    </row>
    <row r="700" spans="1:6" x14ac:dyDescent="0.2">
      <c r="A700" s="17"/>
      <c r="B700" s="17"/>
      <c r="C700" s="17"/>
      <c r="D700" s="17"/>
      <c r="E700" s="18"/>
      <c r="F700" s="19"/>
    </row>
    <row r="701" spans="1:6" x14ac:dyDescent="0.2">
      <c r="A701" s="17"/>
      <c r="B701" s="17"/>
      <c r="C701" s="17"/>
      <c r="D701" s="17"/>
      <c r="E701" s="18"/>
      <c r="F701" s="19"/>
    </row>
    <row r="702" spans="1:6" x14ac:dyDescent="0.2">
      <c r="A702" s="17"/>
      <c r="B702" s="17"/>
      <c r="C702" s="17"/>
      <c r="D702" s="17"/>
      <c r="E702" s="18"/>
      <c r="F702" s="19"/>
    </row>
    <row r="703" spans="1:6" x14ac:dyDescent="0.2">
      <c r="A703" s="17"/>
      <c r="B703" s="17"/>
      <c r="C703" s="17"/>
      <c r="D703" s="17"/>
      <c r="E703" s="18"/>
      <c r="F703" s="19"/>
    </row>
    <row r="704" spans="1:6" x14ac:dyDescent="0.2">
      <c r="A704" s="17"/>
      <c r="B704" s="17"/>
      <c r="C704" s="17"/>
      <c r="D704" s="17"/>
      <c r="E704" s="18"/>
      <c r="F704" s="19"/>
    </row>
    <row r="705" spans="1:6" x14ac:dyDescent="0.2">
      <c r="A705" s="17"/>
      <c r="B705" s="17"/>
      <c r="C705" s="17"/>
      <c r="D705" s="17"/>
      <c r="E705" s="18"/>
      <c r="F705" s="19"/>
    </row>
    <row r="706" spans="1:6" x14ac:dyDescent="0.2">
      <c r="A706" s="17"/>
      <c r="B706" s="17"/>
      <c r="C706" s="17"/>
      <c r="D706" s="17"/>
      <c r="E706" s="18"/>
      <c r="F706" s="19"/>
    </row>
    <row r="707" spans="1:6" x14ac:dyDescent="0.2">
      <c r="A707" s="17"/>
      <c r="B707" s="17"/>
      <c r="C707" s="17"/>
      <c r="D707" s="17"/>
      <c r="E707" s="18"/>
      <c r="F707" s="19"/>
    </row>
    <row r="708" spans="1:6" x14ac:dyDescent="0.2">
      <c r="A708" s="17"/>
      <c r="B708" s="17"/>
      <c r="C708" s="17"/>
      <c r="D708" s="17"/>
      <c r="E708" s="18"/>
      <c r="F708" s="19"/>
    </row>
    <row r="709" spans="1:6" x14ac:dyDescent="0.2">
      <c r="A709" s="17"/>
      <c r="B709" s="17"/>
      <c r="C709" s="17"/>
      <c r="D709" s="17"/>
      <c r="E709" s="18"/>
      <c r="F709" s="19"/>
    </row>
    <row r="710" spans="1:6" x14ac:dyDescent="0.2">
      <c r="A710" s="17"/>
      <c r="B710" s="17"/>
      <c r="C710" s="17"/>
      <c r="D710" s="17"/>
      <c r="E710" s="18"/>
      <c r="F710" s="19"/>
    </row>
    <row r="711" spans="1:6" x14ac:dyDescent="0.2">
      <c r="A711" s="17"/>
      <c r="B711" s="17"/>
      <c r="C711" s="17"/>
      <c r="D711" s="17"/>
      <c r="E711" s="18"/>
      <c r="F711" s="19"/>
    </row>
    <row r="712" spans="1:6" x14ac:dyDescent="0.2">
      <c r="A712" s="17"/>
      <c r="B712" s="17"/>
      <c r="C712" s="17"/>
      <c r="D712" s="17"/>
      <c r="E712" s="18"/>
      <c r="F712" s="19"/>
    </row>
    <row r="713" spans="1:6" x14ac:dyDescent="0.2">
      <c r="A713" s="17"/>
      <c r="B713" s="17"/>
      <c r="C713" s="17"/>
      <c r="D713" s="17"/>
      <c r="E713" s="18"/>
      <c r="F713" s="19"/>
    </row>
    <row r="714" spans="1:6" x14ac:dyDescent="0.2">
      <c r="A714" s="17"/>
      <c r="B714" s="17"/>
      <c r="C714" s="17"/>
      <c r="D714" s="17"/>
      <c r="E714" s="18"/>
      <c r="F714" s="19"/>
    </row>
    <row r="715" spans="1:6" x14ac:dyDescent="0.2">
      <c r="A715" s="17"/>
      <c r="B715" s="17"/>
      <c r="C715" s="17"/>
      <c r="D715" s="17"/>
      <c r="E715" s="18"/>
      <c r="F715" s="19"/>
    </row>
    <row r="716" spans="1:6" x14ac:dyDescent="0.2">
      <c r="A716" s="17"/>
      <c r="B716" s="17"/>
      <c r="C716" s="17"/>
      <c r="D716" s="17"/>
      <c r="E716" s="18"/>
      <c r="F716" s="19"/>
    </row>
    <row r="717" spans="1:6" x14ac:dyDescent="0.2">
      <c r="A717" s="17"/>
      <c r="B717" s="17"/>
      <c r="C717" s="17"/>
      <c r="D717" s="17"/>
      <c r="E717" s="18"/>
      <c r="F717" s="19"/>
    </row>
    <row r="718" spans="1:6" x14ac:dyDescent="0.2">
      <c r="A718" s="17"/>
      <c r="B718" s="17"/>
      <c r="C718" s="17"/>
      <c r="D718" s="17"/>
      <c r="E718" s="18"/>
      <c r="F718" s="19"/>
    </row>
    <row r="719" spans="1:6" x14ac:dyDescent="0.2">
      <c r="A719" s="17"/>
      <c r="B719" s="17"/>
      <c r="C719" s="17"/>
      <c r="D719" s="17"/>
      <c r="E719" s="18"/>
      <c r="F719" s="19"/>
    </row>
    <row r="720" spans="1:6" x14ac:dyDescent="0.2">
      <c r="A720" s="17"/>
      <c r="B720" s="17"/>
      <c r="C720" s="17"/>
      <c r="D720" s="17"/>
      <c r="E720" s="18"/>
      <c r="F720" s="19"/>
    </row>
    <row r="721" spans="1:6" x14ac:dyDescent="0.2">
      <c r="A721" s="17"/>
      <c r="B721" s="17"/>
      <c r="C721" s="17"/>
      <c r="D721" s="17"/>
      <c r="E721" s="18"/>
      <c r="F721" s="19"/>
    </row>
    <row r="722" spans="1:6" x14ac:dyDescent="0.2">
      <c r="A722" s="17"/>
      <c r="B722" s="17"/>
      <c r="C722" s="17"/>
      <c r="D722" s="17"/>
      <c r="E722" s="18"/>
      <c r="F722" s="19"/>
    </row>
    <row r="723" spans="1:6" x14ac:dyDescent="0.2">
      <c r="A723" s="17"/>
      <c r="B723" s="17"/>
      <c r="C723" s="17"/>
      <c r="D723" s="17"/>
      <c r="E723" s="18"/>
      <c r="F723" s="19"/>
    </row>
    <row r="724" spans="1:6" x14ac:dyDescent="0.2">
      <c r="A724" s="17"/>
      <c r="B724" s="17"/>
      <c r="C724" s="17"/>
      <c r="D724" s="17"/>
      <c r="E724" s="18"/>
      <c r="F724" s="19"/>
    </row>
    <row r="725" spans="1:6" x14ac:dyDescent="0.2">
      <c r="A725" s="17"/>
      <c r="B725" s="17"/>
      <c r="C725" s="17"/>
      <c r="D725" s="17"/>
      <c r="E725" s="18"/>
      <c r="F725" s="19"/>
    </row>
    <row r="726" spans="1:6" x14ac:dyDescent="0.2">
      <c r="A726" s="17"/>
      <c r="B726" s="17"/>
      <c r="C726" s="17"/>
      <c r="D726" s="17"/>
      <c r="E726" s="18"/>
      <c r="F726" s="19"/>
    </row>
    <row r="727" spans="1:6" x14ac:dyDescent="0.2">
      <c r="A727" s="17"/>
      <c r="B727" s="17"/>
      <c r="C727" s="17"/>
      <c r="D727" s="17"/>
      <c r="E727" s="18"/>
      <c r="F727" s="19"/>
    </row>
    <row r="728" spans="1:6" x14ac:dyDescent="0.2">
      <c r="A728" s="17"/>
      <c r="B728" s="17"/>
      <c r="C728" s="17"/>
      <c r="D728" s="17"/>
      <c r="E728" s="18"/>
      <c r="F728" s="19"/>
    </row>
    <row r="729" spans="1:6" x14ac:dyDescent="0.2">
      <c r="A729" s="17"/>
      <c r="B729" s="17"/>
      <c r="C729" s="17"/>
      <c r="D729" s="17"/>
      <c r="E729" s="18"/>
      <c r="F729" s="19"/>
    </row>
    <row r="730" spans="1:6" x14ac:dyDescent="0.2">
      <c r="A730" s="17"/>
      <c r="B730" s="17"/>
      <c r="C730" s="17"/>
      <c r="D730" s="17"/>
      <c r="E730" s="18"/>
      <c r="F730" s="19"/>
    </row>
    <row r="731" spans="1:6" x14ac:dyDescent="0.2">
      <c r="A731" s="17"/>
      <c r="B731" s="17"/>
      <c r="C731" s="17"/>
      <c r="D731" s="17"/>
      <c r="E731" s="18"/>
      <c r="F731" s="19"/>
    </row>
    <row r="732" spans="1:6" x14ac:dyDescent="0.2">
      <c r="A732" s="17"/>
      <c r="B732" s="17"/>
      <c r="C732" s="17"/>
      <c r="D732" s="17"/>
      <c r="E732" s="18"/>
      <c r="F732" s="19"/>
    </row>
    <row r="733" spans="1:6" x14ac:dyDescent="0.2">
      <c r="A733" s="17"/>
      <c r="B733" s="17"/>
      <c r="C733" s="17"/>
      <c r="D733" s="17"/>
      <c r="E733" s="18"/>
      <c r="F733" s="19"/>
    </row>
    <row r="734" spans="1:6" x14ac:dyDescent="0.2">
      <c r="A734" s="17"/>
      <c r="B734" s="17"/>
      <c r="C734" s="17"/>
      <c r="D734" s="17"/>
      <c r="E734" s="18"/>
      <c r="F734" s="19"/>
    </row>
    <row r="735" spans="1:6" x14ac:dyDescent="0.2">
      <c r="A735" s="17"/>
      <c r="B735" s="17"/>
      <c r="C735" s="17"/>
      <c r="D735" s="17"/>
      <c r="E735" s="18"/>
      <c r="F735" s="19"/>
    </row>
    <row r="736" spans="1:6" x14ac:dyDescent="0.2">
      <c r="A736" s="17"/>
      <c r="B736" s="17"/>
      <c r="C736" s="17"/>
      <c r="D736" s="17"/>
      <c r="E736" s="18"/>
      <c r="F736" s="19"/>
    </row>
    <row r="737" spans="1:6" x14ac:dyDescent="0.2">
      <c r="A737" s="17"/>
      <c r="B737" s="17"/>
      <c r="C737" s="17"/>
      <c r="D737" s="17"/>
      <c r="E737" s="18"/>
      <c r="F737" s="19"/>
    </row>
    <row r="738" spans="1:6" x14ac:dyDescent="0.2">
      <c r="A738" s="17"/>
      <c r="B738" s="17"/>
      <c r="C738" s="17"/>
      <c r="D738" s="17"/>
      <c r="E738" s="18"/>
      <c r="F738" s="19"/>
    </row>
    <row r="739" spans="1:6" x14ac:dyDescent="0.2">
      <c r="A739" s="17"/>
      <c r="B739" s="17"/>
      <c r="C739" s="17"/>
      <c r="D739" s="17"/>
      <c r="E739" s="18"/>
      <c r="F739" s="19"/>
    </row>
    <row r="740" spans="1:6" x14ac:dyDescent="0.2">
      <c r="A740" s="17"/>
      <c r="B740" s="17"/>
      <c r="C740" s="17"/>
      <c r="D740" s="17"/>
      <c r="E740" s="18"/>
      <c r="F740" s="19"/>
    </row>
    <row r="741" spans="1:6" x14ac:dyDescent="0.2">
      <c r="A741" s="17"/>
      <c r="B741" s="17"/>
      <c r="C741" s="17"/>
      <c r="D741" s="17"/>
      <c r="E741" s="18"/>
      <c r="F741" s="19"/>
    </row>
    <row r="742" spans="1:6" x14ac:dyDescent="0.2">
      <c r="A742" s="17"/>
      <c r="B742" s="17"/>
      <c r="C742" s="17"/>
      <c r="D742" s="17"/>
      <c r="E742" s="18"/>
      <c r="F742" s="19"/>
    </row>
    <row r="743" spans="1:6" x14ac:dyDescent="0.2">
      <c r="A743" s="17"/>
      <c r="B743" s="17"/>
      <c r="C743" s="17"/>
      <c r="D743" s="17"/>
      <c r="E743" s="18"/>
      <c r="F743" s="19"/>
    </row>
    <row r="744" spans="1:6" x14ac:dyDescent="0.2">
      <c r="A744" s="17"/>
      <c r="B744" s="17"/>
      <c r="C744" s="17"/>
      <c r="D744" s="17"/>
      <c r="E744" s="18"/>
      <c r="F744" s="19"/>
    </row>
    <row r="745" spans="1:6" x14ac:dyDescent="0.2">
      <c r="A745" s="17"/>
      <c r="B745" s="17"/>
      <c r="C745" s="17"/>
      <c r="D745" s="17"/>
      <c r="E745" s="18"/>
      <c r="F745" s="19"/>
    </row>
    <row r="746" spans="1:6" x14ac:dyDescent="0.2">
      <c r="A746" s="17"/>
      <c r="B746" s="17"/>
      <c r="C746" s="17"/>
      <c r="D746" s="17"/>
      <c r="E746" s="18"/>
      <c r="F746" s="19"/>
    </row>
    <row r="747" spans="1:6" x14ac:dyDescent="0.2">
      <c r="A747" s="17"/>
      <c r="B747" s="17"/>
      <c r="C747" s="17"/>
      <c r="D747" s="17"/>
      <c r="E747" s="18"/>
      <c r="F747" s="19"/>
    </row>
    <row r="748" spans="1:6" x14ac:dyDescent="0.2">
      <c r="A748" s="17"/>
      <c r="B748" s="17"/>
      <c r="C748" s="17"/>
      <c r="D748" s="17"/>
      <c r="E748" s="18"/>
      <c r="F748" s="19"/>
    </row>
    <row r="749" spans="1:6" x14ac:dyDescent="0.2">
      <c r="A749" s="17"/>
      <c r="B749" s="17"/>
      <c r="C749" s="17"/>
      <c r="D749" s="17"/>
      <c r="E749" s="18"/>
      <c r="F749" s="19"/>
    </row>
    <row r="750" spans="1:6" x14ac:dyDescent="0.2">
      <c r="A750" s="17"/>
      <c r="B750" s="17"/>
      <c r="C750" s="17"/>
      <c r="D750" s="17"/>
      <c r="E750" s="18"/>
      <c r="F750" s="19"/>
    </row>
    <row r="751" spans="1:6" x14ac:dyDescent="0.2">
      <c r="A751" s="17"/>
      <c r="B751" s="17"/>
      <c r="C751" s="17"/>
      <c r="D751" s="17"/>
      <c r="E751" s="18"/>
      <c r="F751" s="19"/>
    </row>
    <row r="752" spans="1:6" x14ac:dyDescent="0.2">
      <c r="A752" s="17"/>
      <c r="B752" s="17"/>
      <c r="C752" s="17"/>
      <c r="D752" s="17"/>
      <c r="E752" s="18"/>
      <c r="F752" s="19"/>
    </row>
    <row r="753" spans="1:6" x14ac:dyDescent="0.2">
      <c r="A753" s="17"/>
      <c r="B753" s="17"/>
      <c r="C753" s="17"/>
      <c r="D753" s="17"/>
      <c r="E753" s="18"/>
      <c r="F753" s="19"/>
    </row>
    <row r="754" spans="1:6" x14ac:dyDescent="0.2">
      <c r="A754" s="17"/>
      <c r="B754" s="17"/>
      <c r="C754" s="17"/>
      <c r="D754" s="17"/>
      <c r="E754" s="18"/>
      <c r="F754" s="19"/>
    </row>
    <row r="755" spans="1:6" x14ac:dyDescent="0.2">
      <c r="A755" s="17"/>
      <c r="B755" s="17"/>
      <c r="C755" s="17"/>
      <c r="D755" s="17"/>
      <c r="E755" s="18"/>
      <c r="F755" s="19"/>
    </row>
    <row r="756" spans="1:6" x14ac:dyDescent="0.2">
      <c r="A756" s="17"/>
      <c r="B756" s="17"/>
      <c r="C756" s="17"/>
      <c r="D756" s="17"/>
      <c r="E756" s="18"/>
      <c r="F756" s="19"/>
    </row>
    <row r="757" spans="1:6" x14ac:dyDescent="0.2">
      <c r="A757" s="17"/>
      <c r="B757" s="17"/>
      <c r="C757" s="17"/>
      <c r="D757" s="17"/>
      <c r="E757" s="18"/>
      <c r="F757" s="19"/>
    </row>
    <row r="758" spans="1:6" x14ac:dyDescent="0.2">
      <c r="A758" s="17"/>
      <c r="B758" s="17"/>
      <c r="C758" s="17"/>
      <c r="D758" s="17"/>
      <c r="E758" s="18"/>
      <c r="F758" s="19"/>
    </row>
    <row r="759" spans="1:6" x14ac:dyDescent="0.2">
      <c r="A759" s="17"/>
      <c r="B759" s="17"/>
      <c r="C759" s="17"/>
      <c r="D759" s="17"/>
      <c r="E759" s="18"/>
      <c r="F759" s="19"/>
    </row>
    <row r="760" spans="1:6" x14ac:dyDescent="0.2">
      <c r="A760" s="17"/>
      <c r="B760" s="17"/>
      <c r="C760" s="17"/>
      <c r="D760" s="17"/>
      <c r="E760" s="18"/>
      <c r="F760" s="19"/>
    </row>
    <row r="761" spans="1:6" x14ac:dyDescent="0.2">
      <c r="A761" s="17"/>
      <c r="B761" s="17"/>
      <c r="C761" s="17"/>
      <c r="D761" s="17"/>
      <c r="E761" s="18"/>
      <c r="F761" s="19"/>
    </row>
    <row r="762" spans="1:6" x14ac:dyDescent="0.2">
      <c r="A762" s="17"/>
      <c r="B762" s="17"/>
      <c r="C762" s="17"/>
      <c r="D762" s="17"/>
      <c r="E762" s="18"/>
      <c r="F762" s="19"/>
    </row>
    <row r="763" spans="1:6" x14ac:dyDescent="0.2">
      <c r="A763" s="17"/>
      <c r="B763" s="17"/>
      <c r="C763" s="17"/>
      <c r="D763" s="17"/>
      <c r="E763" s="18"/>
      <c r="F763" s="19"/>
    </row>
    <row r="764" spans="1:6" x14ac:dyDescent="0.2">
      <c r="A764" s="17"/>
      <c r="B764" s="17"/>
      <c r="C764" s="17"/>
      <c r="D764" s="17"/>
      <c r="E764" s="18"/>
      <c r="F764" s="19"/>
    </row>
    <row r="765" spans="1:6" x14ac:dyDescent="0.2">
      <c r="A765" s="17"/>
      <c r="B765" s="17"/>
      <c r="C765" s="17"/>
      <c r="D765" s="17"/>
      <c r="E765" s="18"/>
      <c r="F765" s="19"/>
    </row>
    <row r="766" spans="1:6" x14ac:dyDescent="0.2">
      <c r="A766" s="17"/>
      <c r="B766" s="17"/>
      <c r="C766" s="17"/>
      <c r="D766" s="17"/>
      <c r="E766" s="18"/>
      <c r="F766" s="19"/>
    </row>
    <row r="767" spans="1:6" x14ac:dyDescent="0.2">
      <c r="A767" s="17"/>
      <c r="B767" s="17"/>
      <c r="C767" s="17"/>
      <c r="D767" s="17"/>
      <c r="E767" s="18"/>
      <c r="F767" s="19"/>
    </row>
    <row r="768" spans="1:6" x14ac:dyDescent="0.2">
      <c r="A768" s="17"/>
      <c r="B768" s="17"/>
      <c r="C768" s="17"/>
      <c r="D768" s="17"/>
      <c r="E768" s="18"/>
      <c r="F768" s="19"/>
    </row>
    <row r="769" spans="1:6" x14ac:dyDescent="0.2">
      <c r="A769" s="17"/>
      <c r="B769" s="17"/>
      <c r="C769" s="17"/>
      <c r="D769" s="17"/>
      <c r="E769" s="18"/>
      <c r="F769" s="19"/>
    </row>
    <row r="770" spans="1:6" x14ac:dyDescent="0.2">
      <c r="A770" s="17"/>
      <c r="B770" s="17"/>
      <c r="C770" s="17"/>
      <c r="D770" s="17"/>
      <c r="E770" s="18"/>
      <c r="F770" s="19"/>
    </row>
    <row r="771" spans="1:6" x14ac:dyDescent="0.2">
      <c r="A771" s="17"/>
      <c r="B771" s="17"/>
      <c r="C771" s="17"/>
      <c r="D771" s="17"/>
      <c r="E771" s="18"/>
      <c r="F771" s="19"/>
    </row>
    <row r="772" spans="1:6" x14ac:dyDescent="0.2">
      <c r="A772" s="17"/>
      <c r="B772" s="17"/>
      <c r="C772" s="17"/>
      <c r="D772" s="17"/>
      <c r="E772" s="18"/>
      <c r="F772" s="19"/>
    </row>
    <row r="773" spans="1:6" x14ac:dyDescent="0.2">
      <c r="A773" s="17"/>
      <c r="B773" s="17"/>
      <c r="C773" s="17"/>
      <c r="D773" s="17"/>
      <c r="E773" s="18"/>
      <c r="F773" s="19"/>
    </row>
    <row r="774" spans="1:6" x14ac:dyDescent="0.2">
      <c r="A774" s="17"/>
      <c r="B774" s="17"/>
      <c r="C774" s="17"/>
      <c r="D774" s="17"/>
      <c r="E774" s="18"/>
      <c r="F774" s="19"/>
    </row>
    <row r="775" spans="1:6" x14ac:dyDescent="0.2">
      <c r="A775" s="17"/>
      <c r="B775" s="17"/>
      <c r="C775" s="17"/>
      <c r="D775" s="17"/>
      <c r="E775" s="18"/>
      <c r="F775" s="19"/>
    </row>
    <row r="776" spans="1:6" x14ac:dyDescent="0.2">
      <c r="A776" s="17"/>
      <c r="B776" s="17"/>
      <c r="C776" s="17"/>
      <c r="D776" s="17"/>
      <c r="E776" s="18"/>
      <c r="F776" s="19"/>
    </row>
    <row r="777" spans="1:6" x14ac:dyDescent="0.2">
      <c r="A777" s="17"/>
      <c r="B777" s="17"/>
      <c r="C777" s="17"/>
      <c r="D777" s="17"/>
      <c r="E777" s="18"/>
      <c r="F777" s="19"/>
    </row>
    <row r="778" spans="1:6" x14ac:dyDescent="0.2">
      <c r="A778" s="17"/>
      <c r="B778" s="17"/>
      <c r="C778" s="17"/>
      <c r="D778" s="17"/>
      <c r="E778" s="18"/>
      <c r="F778" s="19"/>
    </row>
    <row r="779" spans="1:6" x14ac:dyDescent="0.2">
      <c r="A779" s="17"/>
      <c r="B779" s="17"/>
      <c r="C779" s="17"/>
      <c r="D779" s="17"/>
      <c r="E779" s="18"/>
      <c r="F779" s="19"/>
    </row>
    <row r="780" spans="1:6" x14ac:dyDescent="0.2">
      <c r="A780" s="17"/>
      <c r="B780" s="17"/>
      <c r="C780" s="17"/>
      <c r="D780" s="17"/>
      <c r="E780" s="18"/>
      <c r="F780" s="19"/>
    </row>
    <row r="781" spans="1:6" x14ac:dyDescent="0.2">
      <c r="A781" s="17"/>
      <c r="B781" s="17"/>
      <c r="C781" s="17"/>
      <c r="D781" s="17"/>
      <c r="E781" s="18"/>
      <c r="F781" s="19"/>
    </row>
    <row r="782" spans="1:6" x14ac:dyDescent="0.2">
      <c r="A782" s="17"/>
      <c r="B782" s="17"/>
      <c r="C782" s="17"/>
      <c r="D782" s="17"/>
      <c r="E782" s="18"/>
      <c r="F782" s="19"/>
    </row>
    <row r="783" spans="1:6" x14ac:dyDescent="0.2">
      <c r="A783" s="17"/>
      <c r="B783" s="17"/>
      <c r="C783" s="17"/>
      <c r="D783" s="17"/>
      <c r="E783" s="18"/>
      <c r="F783" s="19"/>
    </row>
    <row r="784" spans="1:6" x14ac:dyDescent="0.2">
      <c r="A784" s="17"/>
      <c r="B784" s="17"/>
      <c r="C784" s="17"/>
      <c r="D784" s="17"/>
      <c r="E784" s="18"/>
      <c r="F784" s="19"/>
    </row>
    <row r="785" spans="1:6" x14ac:dyDescent="0.2">
      <c r="A785" s="17"/>
      <c r="B785" s="17"/>
      <c r="C785" s="17"/>
      <c r="D785" s="17"/>
      <c r="E785" s="18"/>
      <c r="F785" s="19"/>
    </row>
    <row r="786" spans="1:6" x14ac:dyDescent="0.2">
      <c r="A786" s="17"/>
      <c r="B786" s="17"/>
      <c r="C786" s="17"/>
      <c r="D786" s="17"/>
      <c r="E786" s="18"/>
      <c r="F786" s="19"/>
    </row>
    <row r="787" spans="1:6" x14ac:dyDescent="0.2">
      <c r="A787" s="17"/>
      <c r="B787" s="17"/>
      <c r="C787" s="17"/>
      <c r="D787" s="17"/>
      <c r="E787" s="18"/>
      <c r="F787" s="19"/>
    </row>
    <row r="788" spans="1:6" x14ac:dyDescent="0.2">
      <c r="A788" s="17"/>
      <c r="B788" s="17"/>
      <c r="C788" s="17"/>
      <c r="D788" s="17"/>
      <c r="E788" s="18"/>
      <c r="F788" s="19"/>
    </row>
    <row r="789" spans="1:6" x14ac:dyDescent="0.2">
      <c r="A789" s="17"/>
      <c r="B789" s="17"/>
      <c r="C789" s="17"/>
      <c r="D789" s="17"/>
      <c r="E789" s="18"/>
      <c r="F789" s="19"/>
    </row>
    <row r="790" spans="1:6" x14ac:dyDescent="0.2">
      <c r="A790" s="17"/>
      <c r="B790" s="17"/>
      <c r="C790" s="17"/>
      <c r="D790" s="17"/>
      <c r="E790" s="18"/>
      <c r="F790" s="19"/>
    </row>
    <row r="791" spans="1:6" x14ac:dyDescent="0.2">
      <c r="A791" s="17"/>
      <c r="B791" s="17"/>
      <c r="C791" s="17"/>
      <c r="D791" s="17"/>
      <c r="E791" s="18"/>
      <c r="F791" s="19"/>
    </row>
    <row r="792" spans="1:6" x14ac:dyDescent="0.2">
      <c r="A792" s="17"/>
      <c r="B792" s="17"/>
      <c r="C792" s="17"/>
      <c r="D792" s="17"/>
      <c r="E792" s="18"/>
      <c r="F792" s="19"/>
    </row>
    <row r="793" spans="1:6" x14ac:dyDescent="0.2">
      <c r="A793" s="17"/>
      <c r="B793" s="17"/>
      <c r="C793" s="17"/>
      <c r="D793" s="17"/>
      <c r="E793" s="18"/>
      <c r="F793" s="19"/>
    </row>
    <row r="794" spans="1:6" x14ac:dyDescent="0.2">
      <c r="A794" s="17"/>
      <c r="B794" s="17"/>
      <c r="C794" s="17"/>
      <c r="D794" s="17"/>
      <c r="E794" s="18"/>
      <c r="F794" s="19"/>
    </row>
    <row r="795" spans="1:6" x14ac:dyDescent="0.2">
      <c r="A795" s="17"/>
      <c r="B795" s="17"/>
      <c r="C795" s="17"/>
      <c r="D795" s="17"/>
      <c r="E795" s="18"/>
      <c r="F795" s="19"/>
    </row>
    <row r="796" spans="1:6" x14ac:dyDescent="0.2">
      <c r="A796" s="17"/>
      <c r="B796" s="17"/>
      <c r="C796" s="17"/>
      <c r="D796" s="17"/>
      <c r="E796" s="18"/>
      <c r="F796" s="19"/>
    </row>
    <row r="797" spans="1:6" x14ac:dyDescent="0.2">
      <c r="A797" s="17"/>
      <c r="B797" s="17"/>
      <c r="C797" s="17"/>
      <c r="D797" s="17"/>
      <c r="E797" s="18"/>
      <c r="F797" s="19"/>
    </row>
    <row r="798" spans="1:6" x14ac:dyDescent="0.2">
      <c r="A798" s="17"/>
      <c r="B798" s="17"/>
      <c r="C798" s="17"/>
      <c r="D798" s="17"/>
      <c r="E798" s="18"/>
      <c r="F798" s="19"/>
    </row>
    <row r="799" spans="1:6" x14ac:dyDescent="0.2">
      <c r="A799" s="17"/>
      <c r="B799" s="17"/>
      <c r="C799" s="17"/>
      <c r="D799" s="17"/>
      <c r="E799" s="18"/>
      <c r="F799" s="19"/>
    </row>
    <row r="800" spans="1:6" x14ac:dyDescent="0.2">
      <c r="A800" s="17"/>
      <c r="B800" s="17"/>
      <c r="C800" s="17"/>
      <c r="D800" s="17"/>
      <c r="E800" s="18"/>
      <c r="F800" s="19"/>
    </row>
    <row r="801" spans="1:6" x14ac:dyDescent="0.2">
      <c r="A801" s="17"/>
      <c r="B801" s="17"/>
      <c r="C801" s="17"/>
      <c r="D801" s="17"/>
      <c r="E801" s="18"/>
      <c r="F801" s="19"/>
    </row>
    <row r="802" spans="1:6" x14ac:dyDescent="0.2">
      <c r="A802" s="17"/>
      <c r="B802" s="17"/>
      <c r="C802" s="17"/>
      <c r="D802" s="17"/>
      <c r="E802" s="18"/>
      <c r="F802" s="19"/>
    </row>
    <row r="803" spans="1:6" x14ac:dyDescent="0.2">
      <c r="A803" s="17"/>
      <c r="B803" s="17"/>
      <c r="C803" s="17"/>
      <c r="D803" s="17"/>
      <c r="E803" s="18"/>
      <c r="F803" s="19"/>
    </row>
    <row r="804" spans="1:6" x14ac:dyDescent="0.2">
      <c r="A804" s="17"/>
      <c r="B804" s="17"/>
      <c r="C804" s="17"/>
      <c r="D804" s="17"/>
      <c r="E804" s="18"/>
      <c r="F804" s="19"/>
    </row>
    <row r="805" spans="1:6" x14ac:dyDescent="0.2">
      <c r="A805" s="17"/>
      <c r="B805" s="17"/>
      <c r="C805" s="17"/>
      <c r="D805" s="17"/>
      <c r="E805" s="18"/>
      <c r="F805" s="19"/>
    </row>
    <row r="806" spans="1:6" x14ac:dyDescent="0.2">
      <c r="A806" s="17"/>
      <c r="B806" s="17"/>
      <c r="C806" s="17"/>
      <c r="D806" s="17"/>
      <c r="E806" s="18"/>
      <c r="F806" s="19"/>
    </row>
    <row r="807" spans="1:6" x14ac:dyDescent="0.2">
      <c r="A807" s="17"/>
      <c r="B807" s="17"/>
      <c r="C807" s="17"/>
      <c r="D807" s="17"/>
      <c r="E807" s="18"/>
      <c r="F807" s="19"/>
    </row>
    <row r="808" spans="1:6" x14ac:dyDescent="0.2">
      <c r="A808" s="17"/>
      <c r="B808" s="17"/>
      <c r="C808" s="17"/>
      <c r="D808" s="17"/>
      <c r="E808" s="18"/>
      <c r="F808" s="19"/>
    </row>
    <row r="809" spans="1:6" x14ac:dyDescent="0.2">
      <c r="A809" s="17"/>
      <c r="B809" s="17"/>
      <c r="C809" s="17"/>
      <c r="D809" s="17"/>
      <c r="E809" s="18"/>
      <c r="F809" s="19"/>
    </row>
    <row r="810" spans="1:6" x14ac:dyDescent="0.2">
      <c r="A810" s="17"/>
      <c r="B810" s="17"/>
      <c r="C810" s="17"/>
      <c r="D810" s="17"/>
      <c r="E810" s="18"/>
      <c r="F810" s="19"/>
    </row>
    <row r="811" spans="1:6" x14ac:dyDescent="0.2">
      <c r="A811" s="17"/>
      <c r="B811" s="17"/>
      <c r="C811" s="17"/>
      <c r="D811" s="17"/>
      <c r="E811" s="18"/>
      <c r="F811" s="19"/>
    </row>
    <row r="812" spans="1:6" x14ac:dyDescent="0.2">
      <c r="A812" s="17"/>
      <c r="B812" s="17"/>
      <c r="C812" s="17"/>
      <c r="D812" s="17"/>
      <c r="E812" s="18"/>
      <c r="F812" s="19"/>
    </row>
    <row r="813" spans="1:6" x14ac:dyDescent="0.2">
      <c r="A813" s="17"/>
      <c r="B813" s="17"/>
      <c r="C813" s="17"/>
      <c r="D813" s="17"/>
      <c r="E813" s="18"/>
      <c r="F813" s="19"/>
    </row>
    <row r="814" spans="1:6" x14ac:dyDescent="0.2">
      <c r="A814" s="17"/>
      <c r="B814" s="17"/>
      <c r="C814" s="17"/>
      <c r="D814" s="17"/>
      <c r="E814" s="18"/>
      <c r="F814" s="19"/>
    </row>
    <row r="815" spans="1:6" x14ac:dyDescent="0.2">
      <c r="A815" s="17"/>
      <c r="B815" s="17"/>
      <c r="C815" s="17"/>
      <c r="D815" s="17"/>
      <c r="E815" s="18"/>
      <c r="F815" s="19"/>
    </row>
    <row r="816" spans="1:6" x14ac:dyDescent="0.2">
      <c r="A816" s="17"/>
      <c r="B816" s="17"/>
      <c r="C816" s="17"/>
      <c r="D816" s="17"/>
      <c r="E816" s="18"/>
      <c r="F816" s="19"/>
    </row>
    <row r="817" spans="1:6" x14ac:dyDescent="0.2">
      <c r="A817" s="17"/>
      <c r="B817" s="17"/>
      <c r="C817" s="17"/>
      <c r="D817" s="17"/>
      <c r="E817" s="18"/>
      <c r="F817" s="19"/>
    </row>
    <row r="818" spans="1:6" x14ac:dyDescent="0.2">
      <c r="A818" s="17"/>
      <c r="B818" s="17"/>
      <c r="C818" s="17"/>
      <c r="D818" s="17"/>
      <c r="E818" s="18"/>
      <c r="F818" s="19"/>
    </row>
    <row r="819" spans="1:6" x14ac:dyDescent="0.2">
      <c r="A819" s="17"/>
      <c r="B819" s="17"/>
      <c r="C819" s="17"/>
      <c r="D819" s="17"/>
      <c r="E819" s="18"/>
      <c r="F819" s="19"/>
    </row>
    <row r="820" spans="1:6" x14ac:dyDescent="0.2">
      <c r="A820" s="17"/>
      <c r="B820" s="17"/>
      <c r="C820" s="17"/>
      <c r="D820" s="17"/>
      <c r="E820" s="18"/>
      <c r="F820" s="19"/>
    </row>
    <row r="821" spans="1:6" x14ac:dyDescent="0.2">
      <c r="A821" s="17"/>
      <c r="B821" s="17"/>
      <c r="C821" s="17"/>
      <c r="D821" s="17"/>
      <c r="E821" s="18"/>
      <c r="F821" s="19"/>
    </row>
    <row r="822" spans="1:6" x14ac:dyDescent="0.2">
      <c r="A822" s="17"/>
      <c r="B822" s="17"/>
      <c r="C822" s="17"/>
      <c r="D822" s="17"/>
      <c r="E822" s="18"/>
      <c r="F822" s="19"/>
    </row>
    <row r="823" spans="1:6" x14ac:dyDescent="0.2">
      <c r="A823" s="17"/>
      <c r="B823" s="17"/>
      <c r="C823" s="17"/>
      <c r="D823" s="17"/>
      <c r="E823" s="18"/>
      <c r="F823" s="19"/>
    </row>
    <row r="824" spans="1:6" x14ac:dyDescent="0.2">
      <c r="A824" s="17"/>
      <c r="B824" s="17"/>
      <c r="C824" s="17"/>
      <c r="D824" s="17"/>
      <c r="E824" s="18"/>
      <c r="F824" s="19"/>
    </row>
    <row r="825" spans="1:6" x14ac:dyDescent="0.2">
      <c r="A825" s="17"/>
      <c r="B825" s="17"/>
      <c r="C825" s="17"/>
      <c r="D825" s="17"/>
      <c r="E825" s="18"/>
      <c r="F825" s="19"/>
    </row>
    <row r="826" spans="1:6" x14ac:dyDescent="0.2">
      <c r="A826" s="17"/>
      <c r="B826" s="17"/>
      <c r="C826" s="17"/>
      <c r="D826" s="17"/>
      <c r="E826" s="18"/>
      <c r="F826" s="19"/>
    </row>
    <row r="827" spans="1:6" x14ac:dyDescent="0.2">
      <c r="A827" s="17"/>
      <c r="B827" s="17"/>
      <c r="C827" s="17"/>
      <c r="D827" s="17"/>
      <c r="E827" s="18"/>
      <c r="F827" s="19"/>
    </row>
    <row r="828" spans="1:6" x14ac:dyDescent="0.2">
      <c r="A828" s="17"/>
      <c r="B828" s="17"/>
      <c r="C828" s="17"/>
      <c r="D828" s="17"/>
      <c r="E828" s="18"/>
      <c r="F828" s="19"/>
    </row>
    <row r="829" spans="1:6" x14ac:dyDescent="0.2">
      <c r="A829" s="17"/>
      <c r="B829" s="17"/>
      <c r="C829" s="17"/>
      <c r="D829" s="17"/>
      <c r="E829" s="18"/>
      <c r="F829" s="19"/>
    </row>
    <row r="830" spans="1:6" x14ac:dyDescent="0.2">
      <c r="A830" s="17"/>
      <c r="B830" s="17"/>
      <c r="C830" s="17"/>
      <c r="D830" s="17"/>
      <c r="E830" s="18"/>
      <c r="F830" s="19"/>
    </row>
    <row r="831" spans="1:6" x14ac:dyDescent="0.2">
      <c r="A831" s="17"/>
      <c r="B831" s="17"/>
      <c r="C831" s="17"/>
      <c r="D831" s="17"/>
      <c r="E831" s="18"/>
      <c r="F831" s="19"/>
    </row>
    <row r="832" spans="1:6" x14ac:dyDescent="0.2">
      <c r="A832" s="17"/>
      <c r="B832" s="17"/>
      <c r="C832" s="17"/>
      <c r="D832" s="17"/>
      <c r="E832" s="18"/>
      <c r="F832" s="19"/>
    </row>
    <row r="833" spans="1:6" x14ac:dyDescent="0.2">
      <c r="A833" s="17"/>
      <c r="B833" s="17"/>
      <c r="C833" s="17"/>
      <c r="D833" s="17"/>
      <c r="E833" s="18"/>
      <c r="F833" s="19"/>
    </row>
    <row r="834" spans="1:6" x14ac:dyDescent="0.2">
      <c r="A834" s="17"/>
      <c r="B834" s="17"/>
      <c r="C834" s="17"/>
      <c r="D834" s="17"/>
      <c r="E834" s="18"/>
      <c r="F834" s="19"/>
    </row>
    <row r="835" spans="1:6" x14ac:dyDescent="0.2">
      <c r="A835" s="17"/>
      <c r="B835" s="17"/>
      <c r="C835" s="17"/>
      <c r="D835" s="17"/>
      <c r="E835" s="18"/>
      <c r="F835" s="19"/>
    </row>
    <row r="836" spans="1:6" x14ac:dyDescent="0.2">
      <c r="A836" s="17"/>
      <c r="B836" s="17"/>
      <c r="C836" s="17"/>
      <c r="D836" s="17"/>
      <c r="E836" s="18"/>
      <c r="F836" s="19"/>
    </row>
    <row r="837" spans="1:6" x14ac:dyDescent="0.2">
      <c r="A837" s="17"/>
      <c r="B837" s="17"/>
      <c r="C837" s="17"/>
      <c r="D837" s="17"/>
      <c r="E837" s="18"/>
      <c r="F837" s="19"/>
    </row>
    <row r="838" spans="1:6" x14ac:dyDescent="0.2">
      <c r="A838" s="17"/>
      <c r="B838" s="17"/>
      <c r="C838" s="17"/>
      <c r="D838" s="17"/>
      <c r="E838" s="18"/>
      <c r="F838" s="19"/>
    </row>
    <row r="839" spans="1:6" x14ac:dyDescent="0.2">
      <c r="A839" s="17"/>
      <c r="B839" s="17"/>
      <c r="C839" s="17"/>
      <c r="D839" s="17"/>
      <c r="E839" s="18"/>
      <c r="F839" s="19"/>
    </row>
    <row r="840" spans="1:6" x14ac:dyDescent="0.2">
      <c r="A840" s="17"/>
      <c r="B840" s="17"/>
      <c r="C840" s="17"/>
      <c r="D840" s="17"/>
      <c r="E840" s="18"/>
      <c r="F840" s="19"/>
    </row>
    <row r="841" spans="1:6" x14ac:dyDescent="0.2">
      <c r="A841" s="17"/>
      <c r="B841" s="17"/>
      <c r="C841" s="17"/>
      <c r="D841" s="17"/>
      <c r="E841" s="18"/>
      <c r="F841" s="19"/>
    </row>
    <row r="842" spans="1:6" x14ac:dyDescent="0.2">
      <c r="A842" s="17"/>
      <c r="B842" s="17"/>
      <c r="C842" s="17"/>
      <c r="D842" s="17"/>
      <c r="E842" s="18"/>
      <c r="F842" s="19"/>
    </row>
    <row r="843" spans="1:6" x14ac:dyDescent="0.2">
      <c r="A843" s="17"/>
      <c r="B843" s="17"/>
      <c r="C843" s="17"/>
      <c r="D843" s="17"/>
      <c r="E843" s="18"/>
      <c r="F843" s="19"/>
    </row>
    <row r="844" spans="1:6" x14ac:dyDescent="0.2">
      <c r="A844" s="17"/>
      <c r="B844" s="17"/>
      <c r="C844" s="17"/>
      <c r="D844" s="17"/>
      <c r="E844" s="18"/>
      <c r="F844" s="19"/>
    </row>
    <row r="845" spans="1:6" x14ac:dyDescent="0.2">
      <c r="A845" s="17"/>
      <c r="B845" s="17"/>
      <c r="C845" s="17"/>
      <c r="D845" s="17"/>
      <c r="E845" s="18"/>
      <c r="F845" s="19"/>
    </row>
    <row r="846" spans="1:6" x14ac:dyDescent="0.2">
      <c r="A846" s="17"/>
      <c r="B846" s="17"/>
      <c r="C846" s="17"/>
      <c r="D846" s="17"/>
      <c r="E846" s="18"/>
      <c r="F846" s="19"/>
    </row>
    <row r="847" spans="1:6" x14ac:dyDescent="0.2">
      <c r="A847" s="17"/>
      <c r="B847" s="17"/>
      <c r="C847" s="17"/>
      <c r="D847" s="17"/>
      <c r="E847" s="18"/>
      <c r="F847" s="19"/>
    </row>
    <row r="848" spans="1:6" x14ac:dyDescent="0.2">
      <c r="A848" s="17"/>
      <c r="B848" s="17"/>
      <c r="C848" s="17"/>
      <c r="D848" s="17"/>
      <c r="E848" s="18"/>
      <c r="F848" s="19"/>
    </row>
    <row r="849" spans="1:6" x14ac:dyDescent="0.2">
      <c r="A849" s="17"/>
      <c r="B849" s="17"/>
      <c r="C849" s="17"/>
      <c r="D849" s="17"/>
      <c r="E849" s="18"/>
      <c r="F849" s="19"/>
    </row>
    <row r="850" spans="1:6" x14ac:dyDescent="0.2">
      <c r="A850" s="17"/>
      <c r="B850" s="17"/>
      <c r="C850" s="17"/>
      <c r="D850" s="17"/>
      <c r="E850" s="18"/>
      <c r="F850" s="19"/>
    </row>
    <row r="851" spans="1:6" x14ac:dyDescent="0.2">
      <c r="A851" s="17"/>
      <c r="B851" s="17"/>
      <c r="C851" s="17"/>
      <c r="D851" s="17"/>
      <c r="E851" s="18"/>
      <c r="F851" s="19"/>
    </row>
    <row r="852" spans="1:6" x14ac:dyDescent="0.2">
      <c r="A852" s="17"/>
      <c r="B852" s="17"/>
      <c r="C852" s="17"/>
      <c r="D852" s="17"/>
      <c r="E852" s="18"/>
      <c r="F852" s="19"/>
    </row>
    <row r="853" spans="1:6" x14ac:dyDescent="0.2">
      <c r="A853" s="17"/>
      <c r="B853" s="17"/>
      <c r="C853" s="17"/>
      <c r="D853" s="17"/>
      <c r="E853" s="18"/>
      <c r="F853" s="19"/>
    </row>
    <row r="854" spans="1:6" x14ac:dyDescent="0.2">
      <c r="A854" s="17"/>
      <c r="B854" s="17"/>
      <c r="C854" s="17"/>
      <c r="D854" s="17"/>
      <c r="E854" s="18"/>
      <c r="F854" s="19"/>
    </row>
    <row r="855" spans="1:6" x14ac:dyDescent="0.2">
      <c r="A855" s="17"/>
      <c r="B855" s="17"/>
      <c r="C855" s="17"/>
      <c r="D855" s="17"/>
      <c r="E855" s="18"/>
      <c r="F855" s="19"/>
    </row>
    <row r="856" spans="1:6" x14ac:dyDescent="0.2">
      <c r="A856" s="17"/>
      <c r="B856" s="17"/>
      <c r="C856" s="17"/>
      <c r="D856" s="17"/>
      <c r="E856" s="18"/>
      <c r="F856" s="19"/>
    </row>
    <row r="857" spans="1:6" x14ac:dyDescent="0.2">
      <c r="A857" s="17"/>
      <c r="B857" s="17"/>
      <c r="C857" s="17"/>
      <c r="D857" s="17"/>
      <c r="E857" s="18"/>
      <c r="F857" s="19"/>
    </row>
    <row r="858" spans="1:6" x14ac:dyDescent="0.2">
      <c r="A858" s="17"/>
      <c r="B858" s="17"/>
      <c r="C858" s="17"/>
      <c r="D858" s="17"/>
      <c r="E858" s="18"/>
      <c r="F858" s="19"/>
    </row>
    <row r="859" spans="1:6" x14ac:dyDescent="0.2">
      <c r="A859" s="17"/>
      <c r="B859" s="17"/>
      <c r="C859" s="17"/>
      <c r="D859" s="17"/>
      <c r="E859" s="18"/>
      <c r="F859" s="19"/>
    </row>
    <row r="860" spans="1:6" x14ac:dyDescent="0.2">
      <c r="A860" s="17"/>
      <c r="B860" s="17"/>
      <c r="C860" s="17"/>
      <c r="D860" s="17"/>
      <c r="E860" s="18"/>
      <c r="F860" s="19"/>
    </row>
    <row r="861" spans="1:6" x14ac:dyDescent="0.2">
      <c r="A861" s="17"/>
      <c r="B861" s="17"/>
      <c r="C861" s="17"/>
      <c r="D861" s="17"/>
      <c r="E861" s="18"/>
      <c r="F861" s="19"/>
    </row>
    <row r="862" spans="1:6" x14ac:dyDescent="0.2">
      <c r="A862" s="17"/>
      <c r="B862" s="17"/>
      <c r="C862" s="17"/>
      <c r="D862" s="17"/>
      <c r="E862" s="18"/>
      <c r="F862" s="19"/>
    </row>
    <row r="863" spans="1:6" x14ac:dyDescent="0.2">
      <c r="A863" s="17"/>
      <c r="B863" s="17"/>
      <c r="C863" s="17"/>
      <c r="D863" s="17"/>
      <c r="E863" s="18"/>
      <c r="F863" s="19"/>
    </row>
    <row r="864" spans="1:6" x14ac:dyDescent="0.2">
      <c r="A864" s="17"/>
      <c r="B864" s="17"/>
      <c r="C864" s="17"/>
      <c r="D864" s="17"/>
      <c r="E864" s="18"/>
      <c r="F864" s="19"/>
    </row>
    <row r="865" spans="1:6" x14ac:dyDescent="0.2">
      <c r="A865" s="17"/>
      <c r="B865" s="17"/>
      <c r="C865" s="17"/>
      <c r="D865" s="17"/>
      <c r="E865" s="18"/>
      <c r="F865" s="19"/>
    </row>
    <row r="866" spans="1:6" x14ac:dyDescent="0.2">
      <c r="A866" s="17"/>
      <c r="B866" s="17"/>
      <c r="C866" s="17"/>
      <c r="D866" s="17"/>
      <c r="E866" s="18"/>
      <c r="F866" s="19"/>
    </row>
    <row r="867" spans="1:6" x14ac:dyDescent="0.2">
      <c r="A867" s="17"/>
      <c r="B867" s="17"/>
      <c r="C867" s="17"/>
      <c r="D867" s="17"/>
      <c r="E867" s="18"/>
      <c r="F867" s="19"/>
    </row>
    <row r="868" spans="1:6" x14ac:dyDescent="0.2">
      <c r="A868" s="17"/>
      <c r="B868" s="17"/>
      <c r="C868" s="17"/>
      <c r="D868" s="17"/>
      <c r="E868" s="18"/>
      <c r="F868" s="19"/>
    </row>
    <row r="869" spans="1:6" x14ac:dyDescent="0.2">
      <c r="A869" s="17"/>
      <c r="B869" s="17"/>
      <c r="C869" s="17"/>
      <c r="D869" s="17"/>
      <c r="E869" s="18"/>
      <c r="F869" s="19"/>
    </row>
    <row r="870" spans="1:6" x14ac:dyDescent="0.2">
      <c r="A870" s="17"/>
      <c r="B870" s="17"/>
      <c r="C870" s="17"/>
      <c r="D870" s="17"/>
      <c r="E870" s="18"/>
      <c r="F870" s="19"/>
    </row>
    <row r="871" spans="1:6" x14ac:dyDescent="0.2">
      <c r="A871" s="17"/>
      <c r="B871" s="17"/>
      <c r="C871" s="17"/>
      <c r="D871" s="17"/>
      <c r="E871" s="18"/>
      <c r="F871" s="19"/>
    </row>
    <row r="872" spans="1:6" x14ac:dyDescent="0.2">
      <c r="A872" s="17"/>
      <c r="B872" s="17"/>
      <c r="C872" s="17"/>
      <c r="D872" s="17"/>
      <c r="E872" s="18"/>
      <c r="F872" s="19"/>
    </row>
    <row r="873" spans="1:6" x14ac:dyDescent="0.2">
      <c r="A873" s="17"/>
      <c r="B873" s="17"/>
      <c r="C873" s="17"/>
      <c r="D873" s="17"/>
      <c r="E873" s="18"/>
      <c r="F873" s="19"/>
    </row>
    <row r="874" spans="1:6" x14ac:dyDescent="0.2">
      <c r="A874" s="17"/>
      <c r="B874" s="17"/>
      <c r="C874" s="17"/>
      <c r="D874" s="17"/>
      <c r="E874" s="18"/>
      <c r="F874" s="19"/>
    </row>
    <row r="875" spans="1:6" x14ac:dyDescent="0.2">
      <c r="A875" s="17"/>
      <c r="B875" s="17"/>
      <c r="C875" s="17"/>
      <c r="D875" s="17"/>
      <c r="E875" s="18"/>
      <c r="F875" s="19"/>
    </row>
    <row r="876" spans="1:6" x14ac:dyDescent="0.2">
      <c r="A876" s="17"/>
      <c r="B876" s="17"/>
      <c r="C876" s="17"/>
      <c r="D876" s="17"/>
      <c r="E876" s="18"/>
      <c r="F876" s="19"/>
    </row>
    <row r="877" spans="1:6" x14ac:dyDescent="0.2">
      <c r="A877" s="17"/>
      <c r="B877" s="17"/>
      <c r="C877" s="17"/>
      <c r="D877" s="17"/>
      <c r="E877" s="18"/>
      <c r="F877" s="19"/>
    </row>
    <row r="878" spans="1:6" x14ac:dyDescent="0.2">
      <c r="A878" s="17"/>
      <c r="B878" s="17"/>
      <c r="C878" s="17"/>
      <c r="D878" s="17"/>
      <c r="E878" s="18"/>
      <c r="F878" s="19"/>
    </row>
    <row r="879" spans="1:6" x14ac:dyDescent="0.2">
      <c r="A879" s="17"/>
      <c r="B879" s="17"/>
      <c r="C879" s="17"/>
      <c r="D879" s="17"/>
      <c r="E879" s="18"/>
      <c r="F879" s="19"/>
    </row>
    <row r="880" spans="1:6" x14ac:dyDescent="0.2">
      <c r="A880" s="17"/>
      <c r="B880" s="17"/>
      <c r="C880" s="17"/>
      <c r="D880" s="17"/>
      <c r="E880" s="18"/>
      <c r="F880" s="19"/>
    </row>
    <row r="881" spans="1:6" x14ac:dyDescent="0.2">
      <c r="A881" s="17"/>
      <c r="B881" s="17"/>
      <c r="C881" s="17"/>
      <c r="D881" s="17"/>
      <c r="E881" s="18"/>
      <c r="F881" s="19"/>
    </row>
    <row r="882" spans="1:6" x14ac:dyDescent="0.2">
      <c r="A882" s="17"/>
      <c r="B882" s="17"/>
      <c r="C882" s="17"/>
      <c r="D882" s="17"/>
      <c r="E882" s="18"/>
      <c r="F882" s="19"/>
    </row>
    <row r="883" spans="1:6" x14ac:dyDescent="0.2">
      <c r="A883" s="17"/>
      <c r="B883" s="17"/>
      <c r="C883" s="17"/>
      <c r="D883" s="17"/>
      <c r="E883" s="18"/>
      <c r="F883" s="19"/>
    </row>
    <row r="884" spans="1:6" x14ac:dyDescent="0.2">
      <c r="A884" s="17"/>
      <c r="B884" s="17"/>
      <c r="C884" s="17"/>
      <c r="D884" s="17"/>
      <c r="E884" s="18"/>
      <c r="F884" s="19"/>
    </row>
    <row r="885" spans="1:6" x14ac:dyDescent="0.2">
      <c r="A885" s="17"/>
      <c r="B885" s="17"/>
      <c r="C885" s="17"/>
      <c r="D885" s="17"/>
      <c r="E885" s="18"/>
      <c r="F885" s="19"/>
    </row>
    <row r="886" spans="1:6" x14ac:dyDescent="0.2">
      <c r="A886" s="17"/>
      <c r="B886" s="17"/>
      <c r="C886" s="17"/>
      <c r="D886" s="17"/>
      <c r="E886" s="18"/>
      <c r="F886" s="19"/>
    </row>
    <row r="887" spans="1:6" x14ac:dyDescent="0.2">
      <c r="A887" s="17"/>
      <c r="B887" s="17"/>
      <c r="C887" s="17"/>
      <c r="D887" s="17"/>
      <c r="E887" s="18"/>
      <c r="F887" s="19"/>
    </row>
    <row r="888" spans="1:6" x14ac:dyDescent="0.2">
      <c r="A888" s="17"/>
      <c r="B888" s="17"/>
      <c r="C888" s="17"/>
      <c r="D888" s="17"/>
      <c r="E888" s="18"/>
      <c r="F888" s="19"/>
    </row>
    <row r="889" spans="1:6" x14ac:dyDescent="0.2">
      <c r="A889" s="17"/>
      <c r="B889" s="17"/>
      <c r="C889" s="17"/>
      <c r="D889" s="17"/>
      <c r="E889" s="18"/>
      <c r="F889" s="19"/>
    </row>
    <row r="890" spans="1:6" x14ac:dyDescent="0.2">
      <c r="A890" s="17"/>
      <c r="B890" s="17"/>
      <c r="C890" s="17"/>
      <c r="D890" s="17"/>
      <c r="E890" s="18"/>
      <c r="F890" s="19"/>
    </row>
    <row r="891" spans="1:6" x14ac:dyDescent="0.2">
      <c r="A891" s="17"/>
      <c r="B891" s="17"/>
      <c r="C891" s="17"/>
      <c r="D891" s="17"/>
      <c r="E891" s="18"/>
      <c r="F891" s="19"/>
    </row>
    <row r="892" spans="1:6" x14ac:dyDescent="0.2">
      <c r="A892" s="17"/>
      <c r="B892" s="17"/>
      <c r="C892" s="17"/>
      <c r="D892" s="17"/>
      <c r="E892" s="18"/>
      <c r="F892" s="19"/>
    </row>
    <row r="893" spans="1:6" x14ac:dyDescent="0.2">
      <c r="A893" s="17"/>
      <c r="B893" s="17"/>
      <c r="C893" s="17"/>
      <c r="D893" s="17"/>
      <c r="E893" s="18"/>
      <c r="F893" s="19"/>
    </row>
    <row r="894" spans="1:6" x14ac:dyDescent="0.2">
      <c r="A894" s="17"/>
      <c r="B894" s="17"/>
      <c r="C894" s="17"/>
      <c r="D894" s="17"/>
      <c r="E894" s="18"/>
      <c r="F894" s="19"/>
    </row>
    <row r="895" spans="1:6" x14ac:dyDescent="0.2">
      <c r="A895" s="17"/>
      <c r="B895" s="17"/>
      <c r="C895" s="17"/>
      <c r="D895" s="17"/>
      <c r="E895" s="18"/>
      <c r="F895" s="19"/>
    </row>
    <row r="896" spans="1:6" x14ac:dyDescent="0.2">
      <c r="A896" s="17"/>
      <c r="B896" s="17"/>
      <c r="C896" s="17"/>
      <c r="D896" s="17"/>
      <c r="E896" s="18"/>
      <c r="F896" s="19"/>
    </row>
    <row r="897" spans="1:6" x14ac:dyDescent="0.2">
      <c r="A897" s="17"/>
      <c r="B897" s="17"/>
      <c r="C897" s="17"/>
      <c r="D897" s="17"/>
      <c r="E897" s="18"/>
      <c r="F897" s="19"/>
    </row>
    <row r="898" spans="1:6" x14ac:dyDescent="0.2">
      <c r="A898" s="17"/>
      <c r="B898" s="17"/>
      <c r="C898" s="17"/>
      <c r="D898" s="17"/>
      <c r="E898" s="18"/>
      <c r="F898" s="19"/>
    </row>
    <row r="899" spans="1:6" x14ac:dyDescent="0.2">
      <c r="A899" s="17"/>
      <c r="B899" s="17"/>
      <c r="C899" s="17"/>
      <c r="D899" s="17"/>
      <c r="E899" s="18"/>
      <c r="F899" s="19"/>
    </row>
    <row r="900" spans="1:6" x14ac:dyDescent="0.2">
      <c r="A900" s="17"/>
      <c r="B900" s="17"/>
      <c r="C900" s="17"/>
      <c r="D900" s="17"/>
      <c r="E900" s="18"/>
      <c r="F900" s="19"/>
    </row>
    <row r="901" spans="1:6" x14ac:dyDescent="0.2">
      <c r="A901" s="17"/>
      <c r="B901" s="17"/>
      <c r="C901" s="17"/>
      <c r="D901" s="17"/>
      <c r="E901" s="18"/>
      <c r="F901" s="19"/>
    </row>
    <row r="902" spans="1:6" x14ac:dyDescent="0.2">
      <c r="A902" s="17"/>
      <c r="B902" s="17"/>
      <c r="C902" s="17"/>
      <c r="D902" s="17"/>
      <c r="E902" s="18"/>
      <c r="F902" s="19"/>
    </row>
    <row r="903" spans="1:6" x14ac:dyDescent="0.2">
      <c r="A903" s="17"/>
      <c r="B903" s="17"/>
      <c r="C903" s="17"/>
      <c r="D903" s="17"/>
      <c r="E903" s="18"/>
      <c r="F903" s="19"/>
    </row>
    <row r="904" spans="1:6" x14ac:dyDescent="0.2">
      <c r="A904" s="17"/>
      <c r="B904" s="17"/>
      <c r="C904" s="17"/>
      <c r="D904" s="17"/>
      <c r="E904" s="18"/>
      <c r="F904" s="19"/>
    </row>
    <row r="905" spans="1:6" x14ac:dyDescent="0.2">
      <c r="A905" s="17"/>
      <c r="B905" s="17"/>
      <c r="C905" s="17"/>
      <c r="D905" s="17"/>
      <c r="E905" s="18"/>
      <c r="F905" s="19"/>
    </row>
    <row r="906" spans="1:6" x14ac:dyDescent="0.2">
      <c r="A906" s="17"/>
      <c r="B906" s="17"/>
      <c r="C906" s="17"/>
      <c r="D906" s="17"/>
      <c r="E906" s="18"/>
      <c r="F906" s="19"/>
    </row>
    <row r="907" spans="1:6" x14ac:dyDescent="0.2">
      <c r="A907" s="17"/>
      <c r="B907" s="17"/>
      <c r="C907" s="17"/>
      <c r="D907" s="17"/>
      <c r="E907" s="18"/>
      <c r="F907" s="19"/>
    </row>
    <row r="908" spans="1:6" x14ac:dyDescent="0.2">
      <c r="A908" s="17"/>
      <c r="B908" s="17"/>
      <c r="C908" s="17"/>
      <c r="D908" s="17"/>
      <c r="E908" s="18"/>
      <c r="F908" s="19"/>
    </row>
    <row r="909" spans="1:6" x14ac:dyDescent="0.2">
      <c r="A909" s="17"/>
      <c r="B909" s="17"/>
      <c r="C909" s="17"/>
      <c r="D909" s="17"/>
      <c r="E909" s="18"/>
      <c r="F909" s="19"/>
    </row>
    <row r="910" spans="1:6" x14ac:dyDescent="0.2">
      <c r="A910" s="17"/>
      <c r="B910" s="17"/>
      <c r="C910" s="17"/>
      <c r="D910" s="17"/>
      <c r="E910" s="18"/>
      <c r="F910" s="19"/>
    </row>
    <row r="911" spans="1:6" x14ac:dyDescent="0.2">
      <c r="A911" s="17"/>
      <c r="B911" s="17"/>
      <c r="C911" s="17"/>
      <c r="D911" s="17"/>
      <c r="E911" s="18"/>
      <c r="F911" s="19"/>
    </row>
    <row r="912" spans="1:6" x14ac:dyDescent="0.2">
      <c r="A912" s="17"/>
      <c r="B912" s="17"/>
      <c r="C912" s="17"/>
      <c r="D912" s="17"/>
      <c r="E912" s="18"/>
      <c r="F912" s="19"/>
    </row>
    <row r="913" spans="1:6" x14ac:dyDescent="0.2">
      <c r="A913" s="17"/>
      <c r="B913" s="17"/>
      <c r="C913" s="17"/>
      <c r="D913" s="17"/>
      <c r="E913" s="18"/>
      <c r="F913" s="19"/>
    </row>
    <row r="914" spans="1:6" x14ac:dyDescent="0.2">
      <c r="A914" s="17"/>
      <c r="B914" s="17"/>
      <c r="C914" s="17"/>
      <c r="D914" s="17"/>
      <c r="E914" s="18"/>
      <c r="F914" s="19"/>
    </row>
    <row r="915" spans="1:6" x14ac:dyDescent="0.2">
      <c r="A915" s="17"/>
      <c r="B915" s="17"/>
      <c r="C915" s="17"/>
      <c r="D915" s="17"/>
      <c r="E915" s="18"/>
      <c r="F915" s="19"/>
    </row>
    <row r="916" spans="1:6" x14ac:dyDescent="0.2">
      <c r="A916" s="17"/>
      <c r="B916" s="17"/>
      <c r="C916" s="17"/>
      <c r="D916" s="17"/>
      <c r="E916" s="18"/>
      <c r="F916" s="19"/>
    </row>
    <row r="917" spans="1:6" x14ac:dyDescent="0.2">
      <c r="A917" s="17"/>
      <c r="B917" s="17"/>
      <c r="C917" s="17"/>
      <c r="D917" s="17"/>
      <c r="E917" s="18"/>
      <c r="F917" s="19"/>
    </row>
    <row r="918" spans="1:6" x14ac:dyDescent="0.2">
      <c r="A918" s="17"/>
      <c r="B918" s="17"/>
      <c r="C918" s="17"/>
      <c r="D918" s="17"/>
      <c r="E918" s="18"/>
      <c r="F918" s="19"/>
    </row>
    <row r="919" spans="1:6" x14ac:dyDescent="0.2">
      <c r="A919" s="17"/>
      <c r="B919" s="17"/>
      <c r="C919" s="17"/>
      <c r="D919" s="17"/>
      <c r="E919" s="18"/>
      <c r="F919" s="19"/>
    </row>
    <row r="920" spans="1:6" x14ac:dyDescent="0.2">
      <c r="A920" s="17"/>
      <c r="B920" s="17"/>
      <c r="C920" s="17"/>
      <c r="D920" s="17"/>
      <c r="E920" s="18"/>
      <c r="F920" s="19"/>
    </row>
    <row r="921" spans="1:6" x14ac:dyDescent="0.2">
      <c r="A921" s="17"/>
      <c r="B921" s="17"/>
      <c r="C921" s="17"/>
      <c r="D921" s="17"/>
      <c r="E921" s="18"/>
      <c r="F921" s="19"/>
    </row>
    <row r="922" spans="1:6" x14ac:dyDescent="0.2">
      <c r="A922" s="17"/>
      <c r="B922" s="17"/>
      <c r="C922" s="17"/>
      <c r="D922" s="17"/>
      <c r="E922" s="18"/>
      <c r="F922" s="19"/>
    </row>
    <row r="923" spans="1:6" x14ac:dyDescent="0.2">
      <c r="A923" s="17"/>
      <c r="B923" s="17"/>
      <c r="C923" s="17"/>
      <c r="D923" s="17"/>
      <c r="E923" s="18"/>
      <c r="F923" s="19"/>
    </row>
    <row r="924" spans="1:6" x14ac:dyDescent="0.2">
      <c r="A924" s="17"/>
      <c r="B924" s="17"/>
      <c r="C924" s="17"/>
      <c r="D924" s="17"/>
      <c r="E924" s="18"/>
      <c r="F924" s="19"/>
    </row>
    <row r="925" spans="1:6" x14ac:dyDescent="0.2">
      <c r="A925" s="17"/>
      <c r="B925" s="17"/>
      <c r="C925" s="17"/>
      <c r="D925" s="17"/>
      <c r="E925" s="18"/>
      <c r="F925" s="19"/>
    </row>
    <row r="926" spans="1:6" x14ac:dyDescent="0.2">
      <c r="A926" s="17"/>
      <c r="B926" s="17"/>
      <c r="C926" s="17"/>
      <c r="D926" s="17"/>
      <c r="E926" s="18"/>
      <c r="F926" s="19"/>
    </row>
    <row r="927" spans="1:6" x14ac:dyDescent="0.2">
      <c r="A927" s="17"/>
      <c r="B927" s="17"/>
      <c r="C927" s="17"/>
      <c r="D927" s="17"/>
      <c r="E927" s="18"/>
      <c r="F927" s="19"/>
    </row>
    <row r="928" spans="1:6" x14ac:dyDescent="0.2">
      <c r="A928" s="17"/>
      <c r="B928" s="17"/>
      <c r="C928" s="17"/>
      <c r="D928" s="17"/>
      <c r="E928" s="18"/>
      <c r="F928" s="19"/>
    </row>
    <row r="929" spans="1:6" x14ac:dyDescent="0.2">
      <c r="A929" s="17"/>
      <c r="B929" s="17"/>
      <c r="C929" s="17"/>
      <c r="D929" s="17"/>
      <c r="E929" s="18"/>
      <c r="F929" s="19"/>
    </row>
    <row r="930" spans="1:6" x14ac:dyDescent="0.2">
      <c r="A930" s="17"/>
      <c r="B930" s="17"/>
      <c r="C930" s="17"/>
      <c r="D930" s="17"/>
      <c r="E930" s="18"/>
      <c r="F930" s="19"/>
    </row>
    <row r="931" spans="1:6" x14ac:dyDescent="0.2">
      <c r="A931" s="17"/>
      <c r="B931" s="17"/>
      <c r="C931" s="17"/>
      <c r="D931" s="17"/>
      <c r="E931" s="18"/>
      <c r="F931" s="19"/>
    </row>
    <row r="932" spans="1:6" x14ac:dyDescent="0.2">
      <c r="A932" s="17"/>
      <c r="B932" s="17"/>
      <c r="C932" s="17"/>
      <c r="D932" s="17"/>
      <c r="E932" s="18"/>
      <c r="F932" s="19"/>
    </row>
    <row r="933" spans="1:6" x14ac:dyDescent="0.2">
      <c r="A933" s="17"/>
      <c r="B933" s="17"/>
      <c r="C933" s="17"/>
      <c r="D933" s="17"/>
      <c r="E933" s="18"/>
      <c r="F933" s="19"/>
    </row>
    <row r="934" spans="1:6" x14ac:dyDescent="0.2">
      <c r="A934" s="17"/>
      <c r="B934" s="17"/>
      <c r="C934" s="17"/>
      <c r="D934" s="17"/>
      <c r="E934" s="18"/>
      <c r="F934" s="19"/>
    </row>
    <row r="935" spans="1:6" x14ac:dyDescent="0.2">
      <c r="A935" s="17"/>
      <c r="B935" s="17"/>
      <c r="C935" s="17"/>
      <c r="D935" s="17"/>
      <c r="E935" s="18"/>
      <c r="F935" s="19"/>
    </row>
    <row r="936" spans="1:6" x14ac:dyDescent="0.2">
      <c r="A936" s="17"/>
      <c r="B936" s="17"/>
      <c r="C936" s="17"/>
      <c r="D936" s="17"/>
      <c r="E936" s="18"/>
      <c r="F936" s="19"/>
    </row>
    <row r="937" spans="1:6" x14ac:dyDescent="0.2">
      <c r="A937" s="17"/>
      <c r="B937" s="17"/>
      <c r="C937" s="17"/>
      <c r="D937" s="17"/>
      <c r="E937" s="18"/>
      <c r="F937" s="19"/>
    </row>
    <row r="938" spans="1:6" x14ac:dyDescent="0.2">
      <c r="A938" s="17"/>
      <c r="B938" s="17"/>
      <c r="C938" s="17"/>
      <c r="D938" s="17"/>
      <c r="E938" s="18"/>
      <c r="F938" s="19"/>
    </row>
    <row r="939" spans="1:6" x14ac:dyDescent="0.2">
      <c r="A939" s="17"/>
      <c r="B939" s="17"/>
      <c r="C939" s="17"/>
      <c r="D939" s="17"/>
      <c r="E939" s="18"/>
      <c r="F939" s="19"/>
    </row>
    <row r="940" spans="1:6" x14ac:dyDescent="0.2">
      <c r="A940" s="17"/>
      <c r="B940" s="17"/>
      <c r="C940" s="17"/>
      <c r="D940" s="17"/>
      <c r="E940" s="18"/>
      <c r="F940" s="19"/>
    </row>
    <row r="941" spans="1:6" x14ac:dyDescent="0.2">
      <c r="A941" s="17"/>
      <c r="B941" s="17"/>
      <c r="C941" s="17"/>
      <c r="D941" s="17"/>
      <c r="E941" s="18"/>
      <c r="F941" s="19"/>
    </row>
    <row r="942" spans="1:6" x14ac:dyDescent="0.2">
      <c r="A942" s="17"/>
      <c r="B942" s="17"/>
      <c r="C942" s="17"/>
      <c r="D942" s="17"/>
      <c r="E942" s="18"/>
      <c r="F942" s="19"/>
    </row>
    <row r="943" spans="1:6" x14ac:dyDescent="0.2">
      <c r="A943" s="17"/>
      <c r="B943" s="17"/>
      <c r="C943" s="17"/>
      <c r="D943" s="17"/>
      <c r="E943" s="18"/>
      <c r="F943" s="19"/>
    </row>
    <row r="944" spans="1:6" x14ac:dyDescent="0.2">
      <c r="A944" s="17"/>
      <c r="B944" s="17"/>
      <c r="C944" s="17"/>
      <c r="D944" s="17"/>
      <c r="E944" s="18"/>
      <c r="F944" s="19"/>
    </row>
    <row r="945" spans="1:6" x14ac:dyDescent="0.2">
      <c r="A945" s="17"/>
      <c r="B945" s="17"/>
      <c r="C945" s="17"/>
      <c r="D945" s="17"/>
      <c r="E945" s="18"/>
      <c r="F945" s="19"/>
    </row>
    <row r="946" spans="1:6" x14ac:dyDescent="0.2">
      <c r="A946" s="17"/>
      <c r="B946" s="17"/>
      <c r="C946" s="17"/>
      <c r="D946" s="17"/>
      <c r="E946" s="18"/>
      <c r="F946" s="19"/>
    </row>
    <row r="947" spans="1:6" x14ac:dyDescent="0.2">
      <c r="A947" s="17"/>
      <c r="B947" s="17"/>
      <c r="C947" s="17"/>
      <c r="D947" s="17"/>
      <c r="E947" s="18"/>
      <c r="F947" s="19"/>
    </row>
    <row r="948" spans="1:6" x14ac:dyDescent="0.2">
      <c r="A948" s="17"/>
      <c r="B948" s="17"/>
      <c r="C948" s="17"/>
      <c r="D948" s="17"/>
      <c r="E948" s="18"/>
      <c r="F948" s="19"/>
    </row>
    <row r="949" spans="1:6" x14ac:dyDescent="0.2">
      <c r="A949" s="17"/>
      <c r="B949" s="17"/>
      <c r="C949" s="17"/>
      <c r="D949" s="17"/>
      <c r="E949" s="18"/>
      <c r="F949" s="19"/>
    </row>
    <row r="950" spans="1:6" x14ac:dyDescent="0.2">
      <c r="A950" s="17"/>
      <c r="B950" s="17"/>
      <c r="C950" s="17"/>
      <c r="D950" s="17"/>
      <c r="E950" s="18"/>
      <c r="F950" s="19"/>
    </row>
    <row r="951" spans="1:6" x14ac:dyDescent="0.2">
      <c r="A951" s="17"/>
      <c r="B951" s="17"/>
      <c r="C951" s="17"/>
      <c r="D951" s="17"/>
      <c r="E951" s="18"/>
      <c r="F951" s="19"/>
    </row>
    <row r="952" spans="1:6" x14ac:dyDescent="0.2">
      <c r="A952" s="17"/>
      <c r="B952" s="17"/>
      <c r="C952" s="17"/>
      <c r="D952" s="17"/>
      <c r="E952" s="18"/>
      <c r="F952" s="19"/>
    </row>
    <row r="953" spans="1:6" x14ac:dyDescent="0.2">
      <c r="A953" s="17"/>
      <c r="B953" s="17"/>
      <c r="C953" s="17"/>
      <c r="D953" s="17"/>
      <c r="E953" s="18"/>
      <c r="F953" s="19"/>
    </row>
    <row r="954" spans="1:6" x14ac:dyDescent="0.2">
      <c r="A954" s="17"/>
      <c r="B954" s="17"/>
      <c r="C954" s="17"/>
      <c r="D954" s="17"/>
      <c r="E954" s="18"/>
      <c r="F954" s="19"/>
    </row>
    <row r="955" spans="1:6" x14ac:dyDescent="0.2">
      <c r="A955" s="17"/>
      <c r="B955" s="17"/>
      <c r="C955" s="17"/>
      <c r="D955" s="17"/>
      <c r="E955" s="18"/>
      <c r="F955" s="19"/>
    </row>
    <row r="956" spans="1:6" x14ac:dyDescent="0.2">
      <c r="A956" s="17"/>
      <c r="B956" s="17"/>
      <c r="C956" s="17"/>
      <c r="D956" s="17"/>
      <c r="E956" s="18"/>
      <c r="F956" s="19"/>
    </row>
    <row r="957" spans="1:6" x14ac:dyDescent="0.2">
      <c r="A957" s="17"/>
      <c r="B957" s="17"/>
      <c r="C957" s="17"/>
      <c r="D957" s="17"/>
      <c r="E957" s="18"/>
      <c r="F957" s="19"/>
    </row>
    <row r="958" spans="1:6" x14ac:dyDescent="0.2">
      <c r="A958" s="17"/>
      <c r="B958" s="17"/>
      <c r="C958" s="17"/>
      <c r="D958" s="17"/>
      <c r="E958" s="18"/>
      <c r="F958" s="19"/>
    </row>
    <row r="959" spans="1:6" x14ac:dyDescent="0.2">
      <c r="A959" s="17"/>
      <c r="B959" s="17"/>
      <c r="C959" s="17"/>
      <c r="D959" s="17"/>
      <c r="E959" s="18"/>
      <c r="F959" s="19"/>
    </row>
    <row r="960" spans="1:6" x14ac:dyDescent="0.2">
      <c r="A960" s="17"/>
      <c r="B960" s="17"/>
      <c r="C960" s="17"/>
      <c r="D960" s="17"/>
      <c r="E960" s="18"/>
      <c r="F960" s="19"/>
    </row>
    <row r="961" spans="1:6" x14ac:dyDescent="0.2">
      <c r="A961" s="17"/>
      <c r="B961" s="17"/>
      <c r="C961" s="17"/>
      <c r="D961" s="17"/>
      <c r="E961" s="18"/>
      <c r="F961" s="19"/>
    </row>
    <row r="962" spans="1:6" x14ac:dyDescent="0.2">
      <c r="A962" s="17"/>
      <c r="B962" s="17"/>
      <c r="C962" s="17"/>
      <c r="D962" s="17"/>
      <c r="E962" s="18"/>
      <c r="F962" s="19"/>
    </row>
    <row r="963" spans="1:6" x14ac:dyDescent="0.2">
      <c r="A963" s="17"/>
      <c r="B963" s="17"/>
      <c r="C963" s="17"/>
      <c r="D963" s="17"/>
      <c r="E963" s="18"/>
      <c r="F963" s="19"/>
    </row>
    <row r="964" spans="1:6" x14ac:dyDescent="0.2">
      <c r="A964" s="17"/>
      <c r="B964" s="17"/>
      <c r="C964" s="17"/>
      <c r="D964" s="17"/>
      <c r="E964" s="18"/>
      <c r="F964" s="19"/>
    </row>
    <row r="965" spans="1:6" x14ac:dyDescent="0.2">
      <c r="A965" s="17"/>
      <c r="B965" s="17"/>
      <c r="C965" s="17"/>
      <c r="D965" s="17"/>
      <c r="E965" s="18"/>
      <c r="F965" s="19"/>
    </row>
    <row r="966" spans="1:6" x14ac:dyDescent="0.2">
      <c r="A966" s="17"/>
      <c r="B966" s="17"/>
      <c r="C966" s="17"/>
      <c r="D966" s="17"/>
      <c r="E966" s="18"/>
      <c r="F966" s="19"/>
    </row>
    <row r="967" spans="1:6" x14ac:dyDescent="0.2">
      <c r="A967" s="17"/>
      <c r="B967" s="17"/>
      <c r="C967" s="17"/>
      <c r="D967" s="17"/>
      <c r="E967" s="18"/>
      <c r="F967" s="19"/>
    </row>
    <row r="968" spans="1:6" x14ac:dyDescent="0.2">
      <c r="A968" s="17"/>
      <c r="B968" s="17"/>
      <c r="C968" s="17"/>
      <c r="D968" s="17"/>
      <c r="E968" s="18"/>
      <c r="F968" s="19"/>
    </row>
    <row r="969" spans="1:6" x14ac:dyDescent="0.2">
      <c r="A969" s="17"/>
      <c r="B969" s="17"/>
      <c r="C969" s="17"/>
      <c r="D969" s="17"/>
      <c r="E969" s="18"/>
      <c r="F969" s="19"/>
    </row>
    <row r="970" spans="1:6" x14ac:dyDescent="0.2">
      <c r="A970" s="17"/>
      <c r="B970" s="17"/>
      <c r="C970" s="17"/>
      <c r="D970" s="17"/>
      <c r="E970" s="18"/>
      <c r="F970" s="19"/>
    </row>
    <row r="971" spans="1:6" x14ac:dyDescent="0.2">
      <c r="A971" s="17"/>
      <c r="B971" s="17"/>
      <c r="C971" s="17"/>
      <c r="D971" s="17"/>
      <c r="E971" s="18"/>
      <c r="F971" s="19"/>
    </row>
    <row r="972" spans="1:6" x14ac:dyDescent="0.2">
      <c r="A972" s="17"/>
      <c r="B972" s="17"/>
      <c r="C972" s="17"/>
      <c r="D972" s="17"/>
      <c r="E972" s="18"/>
      <c r="F972" s="19"/>
    </row>
    <row r="973" spans="1:6" x14ac:dyDescent="0.2">
      <c r="A973" s="17"/>
      <c r="B973" s="17"/>
      <c r="C973" s="17"/>
      <c r="D973" s="17"/>
      <c r="E973" s="18"/>
      <c r="F973" s="19"/>
    </row>
    <row r="974" spans="1:6" x14ac:dyDescent="0.2">
      <c r="A974" s="17"/>
      <c r="B974" s="17"/>
      <c r="C974" s="17"/>
      <c r="D974" s="17"/>
      <c r="E974" s="18"/>
      <c r="F974" s="19"/>
    </row>
    <row r="975" spans="1:6" x14ac:dyDescent="0.2">
      <c r="A975" s="17"/>
      <c r="B975" s="17"/>
      <c r="C975" s="17"/>
      <c r="D975" s="17"/>
      <c r="E975" s="18"/>
      <c r="F975" s="19"/>
    </row>
    <row r="976" spans="1:6" x14ac:dyDescent="0.2">
      <c r="A976" s="17"/>
      <c r="B976" s="17"/>
      <c r="C976" s="17"/>
      <c r="D976" s="17"/>
      <c r="E976" s="18"/>
      <c r="F976" s="19"/>
    </row>
    <row r="977" spans="1:6" x14ac:dyDescent="0.2">
      <c r="A977" s="17"/>
      <c r="B977" s="17"/>
      <c r="C977" s="17"/>
      <c r="D977" s="17"/>
      <c r="E977" s="18"/>
      <c r="F977" s="19"/>
    </row>
    <row r="978" spans="1:6" x14ac:dyDescent="0.2">
      <c r="A978" s="17"/>
      <c r="B978" s="17"/>
      <c r="C978" s="17"/>
      <c r="D978" s="17"/>
      <c r="E978" s="18"/>
      <c r="F978" s="19"/>
    </row>
    <row r="979" spans="1:6" x14ac:dyDescent="0.2">
      <c r="A979" s="17"/>
      <c r="B979" s="17"/>
      <c r="C979" s="17"/>
      <c r="D979" s="17"/>
      <c r="E979" s="18"/>
      <c r="F979" s="19"/>
    </row>
    <row r="980" spans="1:6" x14ac:dyDescent="0.2">
      <c r="A980" s="17"/>
      <c r="B980" s="17"/>
      <c r="C980" s="17"/>
      <c r="D980" s="17"/>
      <c r="E980" s="18"/>
      <c r="F980" s="19"/>
    </row>
    <row r="981" spans="1:6" x14ac:dyDescent="0.2">
      <c r="A981" s="17"/>
      <c r="B981" s="17"/>
      <c r="C981" s="17"/>
      <c r="D981" s="17"/>
      <c r="E981" s="18"/>
      <c r="F981" s="19"/>
    </row>
    <row r="982" spans="1:6" x14ac:dyDescent="0.2">
      <c r="A982" s="17"/>
      <c r="B982" s="17"/>
      <c r="C982" s="17"/>
      <c r="D982" s="17"/>
      <c r="E982" s="18"/>
      <c r="F982" s="19"/>
    </row>
    <row r="983" spans="1:6" x14ac:dyDescent="0.2">
      <c r="A983" s="17"/>
      <c r="B983" s="17"/>
      <c r="C983" s="17"/>
      <c r="D983" s="17"/>
      <c r="E983" s="18"/>
      <c r="F983" s="19"/>
    </row>
    <row r="984" spans="1:6" x14ac:dyDescent="0.2">
      <c r="A984" s="17"/>
      <c r="B984" s="17"/>
      <c r="C984" s="17"/>
      <c r="D984" s="17"/>
      <c r="E984" s="18"/>
      <c r="F984" s="19"/>
    </row>
    <row r="985" spans="1:6" x14ac:dyDescent="0.2">
      <c r="A985" s="17"/>
      <c r="B985" s="17"/>
      <c r="C985" s="17"/>
      <c r="D985" s="17"/>
      <c r="E985" s="18"/>
      <c r="F985" s="19"/>
    </row>
    <row r="986" spans="1:6" x14ac:dyDescent="0.2">
      <c r="A986" s="17"/>
      <c r="B986" s="17"/>
      <c r="C986" s="17"/>
      <c r="D986" s="17"/>
      <c r="E986" s="18"/>
      <c r="F986" s="19"/>
    </row>
    <row r="987" spans="1:6" x14ac:dyDescent="0.2">
      <c r="A987" s="17"/>
      <c r="B987" s="17"/>
      <c r="C987" s="17"/>
      <c r="D987" s="17"/>
      <c r="E987" s="18"/>
      <c r="F987" s="19"/>
    </row>
    <row r="988" spans="1:6" x14ac:dyDescent="0.2">
      <c r="A988" s="17"/>
      <c r="B988" s="17"/>
      <c r="C988" s="17"/>
      <c r="D988" s="17"/>
      <c r="E988" s="18"/>
      <c r="F988" s="19"/>
    </row>
    <row r="989" spans="1:6" x14ac:dyDescent="0.2">
      <c r="A989" s="17"/>
      <c r="B989" s="17"/>
      <c r="C989" s="17"/>
      <c r="D989" s="17"/>
      <c r="E989" s="18"/>
      <c r="F989" s="19"/>
    </row>
    <row r="990" spans="1:6" x14ac:dyDescent="0.2">
      <c r="A990" s="17"/>
      <c r="B990" s="17"/>
      <c r="C990" s="17"/>
      <c r="D990" s="17"/>
      <c r="E990" s="18"/>
      <c r="F990" s="19"/>
    </row>
    <row r="991" spans="1:6" x14ac:dyDescent="0.2">
      <c r="A991" s="17"/>
      <c r="B991" s="17"/>
      <c r="C991" s="17"/>
      <c r="D991" s="17"/>
      <c r="E991" s="18"/>
      <c r="F991" s="19"/>
    </row>
    <row r="992" spans="1:6" x14ac:dyDescent="0.2">
      <c r="A992" s="17"/>
      <c r="B992" s="17"/>
      <c r="C992" s="17"/>
      <c r="D992" s="17"/>
      <c r="E992" s="18"/>
      <c r="F992" s="19"/>
    </row>
    <row r="993" spans="1:6" x14ac:dyDescent="0.2">
      <c r="A993" s="17"/>
      <c r="B993" s="17"/>
      <c r="C993" s="17"/>
      <c r="D993" s="17"/>
      <c r="E993" s="18"/>
      <c r="F993" s="19"/>
    </row>
    <row r="994" spans="1:6" x14ac:dyDescent="0.2">
      <c r="A994" s="17"/>
      <c r="B994" s="17"/>
      <c r="C994" s="17"/>
      <c r="D994" s="17"/>
      <c r="E994" s="18"/>
      <c r="F994" s="19"/>
    </row>
    <row r="995" spans="1:6" x14ac:dyDescent="0.2">
      <c r="A995" s="17"/>
      <c r="B995" s="17"/>
      <c r="C995" s="17"/>
      <c r="D995" s="17"/>
      <c r="E995" s="18"/>
      <c r="F995" s="19"/>
    </row>
    <row r="996" spans="1:6" x14ac:dyDescent="0.2">
      <c r="A996" s="17"/>
      <c r="B996" s="17"/>
      <c r="C996" s="17"/>
      <c r="D996" s="17"/>
      <c r="E996" s="18"/>
      <c r="F996" s="19"/>
    </row>
    <row r="997" spans="1:6" x14ac:dyDescent="0.2">
      <c r="A997" s="17"/>
      <c r="B997" s="17"/>
      <c r="C997" s="17"/>
      <c r="D997" s="17"/>
      <c r="E997" s="18"/>
      <c r="F997" s="19"/>
    </row>
    <row r="998" spans="1:6" x14ac:dyDescent="0.2">
      <c r="A998" s="17"/>
      <c r="B998" s="17"/>
      <c r="C998" s="17"/>
      <c r="D998" s="17"/>
      <c r="E998" s="18"/>
      <c r="F998" s="19"/>
    </row>
    <row r="999" spans="1:6" x14ac:dyDescent="0.2">
      <c r="A999" s="17"/>
      <c r="B999" s="17"/>
      <c r="C999" s="17"/>
      <c r="D999" s="17"/>
      <c r="E999" s="18"/>
      <c r="F999" s="19"/>
    </row>
    <row r="1000" spans="1:6" x14ac:dyDescent="0.2">
      <c r="A1000" s="17"/>
      <c r="B1000" s="17"/>
      <c r="C1000" s="17"/>
      <c r="D1000" s="17"/>
      <c r="E1000" s="18"/>
      <c r="F1000" s="19"/>
    </row>
  </sheetData>
  <hyperlinks>
    <hyperlink ref="E2" r:id="rId1" display="mailto:shishir.kumar@airbus.com"/>
    <hyperlink ref="E3" r:id="rId2" display="mailto:shsundar@akamai.com"/>
    <hyperlink ref="E4" r:id="rId3" display="mailto:hitler.carvalho@alcatel-lucent.com"/>
    <hyperlink ref="E5" r:id="rId4" display="mailto:raghavendra.bhat@altisource.com"/>
    <hyperlink ref="E6" r:id="rId5" display="mailto:dipti.nayak@altran.com"/>
    <hyperlink ref="E7" r:id="rId6" display="mailto:debobrata.hembram@aon.com"/>
    <hyperlink ref="E8" r:id="rId7" display="mailto:naqeeb_syed@amat.com"/>
    <hyperlink ref="E9" r:id="rId8" display="mailto:varsha.singh@arm.com"/>
    <hyperlink ref="E10" r:id="rId9" display="mailto:purushotham.k@atkinsglobal.com"/>
    <hyperlink ref="E13" r:id="rId10" display="mailto:gayatri.kunjithaya@citrix.com"/>
    <hyperlink ref="E15" r:id="rId11" display="mailto:pradeep.kumar2@emids.com"/>
    <hyperlink ref="E17" r:id="rId12" display="mailto:pramdoss@in.imshealth.com"/>
    <hyperlink ref="E20" r:id="rId13" display="mailto:vishnu.i@myntra.com"/>
    <hyperlink ref="E21" r:id="rId14" display="mailto:gmanoj@novell.com"/>
    <hyperlink ref="E22" r:id="rId15" display="mailto:m.m.hussain@phillips.com"/>
    <hyperlink ref="E23" r:id="rId16" display="mailto:trinette@qualcomm.com"/>
    <hyperlink ref="E26" r:id="rId17" display="mailto:mangalam.kumar@softwareag.com"/>
    <hyperlink ref="E27" r:id="rId18" display="mailto:sundaralingam.pashupathy@syngeneintl.com"/>
    <hyperlink ref="E28" r:id="rId19" display="mailto:suraj.pinto@target.com"/>
    <hyperlink ref="E29" r:id="rId20" display="mailto:abraham.cherian@in.tesco.com"/>
    <hyperlink ref="E30" r:id="rId21" display="mailto:pbhattad@textron.com"/>
    <hyperlink ref="E31" r:id="rId22" display="mailto:rex.michael@thomsonreuters.com"/>
  </hyperlinks>
  <pageMargins left="0.7" right="0.7" top="0.75" bottom="0.75" header="0.3" footer="0.3"/>
  <pageSetup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 enableFormatConditionsCalculation="0"/>
  <dimension ref="A1:BX112"/>
  <sheetViews>
    <sheetView topLeftCell="A46" workbookViewId="0">
      <selection activeCell="T46" sqref="T46"/>
    </sheetView>
  </sheetViews>
  <sheetFormatPr baseColWidth="10" defaultColWidth="15.1640625" defaultRowHeight="15" customHeight="1" x14ac:dyDescent="0.2"/>
  <cols>
    <col min="1" max="1" width="7" style="319" customWidth="1"/>
    <col min="2" max="2" width="55.83203125" style="269" bestFit="1" customWidth="1"/>
    <col min="3" max="3" width="11" style="269" bestFit="1" customWidth="1"/>
    <col min="4" max="4" width="25" hidden="1" customWidth="1"/>
    <col min="5" max="5" width="39" style="269" bestFit="1" customWidth="1"/>
    <col min="6" max="6" width="22.83203125" style="269" bestFit="1" customWidth="1"/>
    <col min="7" max="7" width="24.1640625" style="269" bestFit="1" customWidth="1"/>
    <col min="8" max="8" width="35.83203125" style="269" bestFit="1" customWidth="1"/>
    <col min="9" max="9" width="22.5" style="269" bestFit="1" customWidth="1"/>
    <col min="10" max="10" width="35.5" style="269" bestFit="1" customWidth="1"/>
    <col min="11" max="11" width="24.5" style="269" bestFit="1" customWidth="1"/>
    <col min="12" max="12" width="42.5" style="269" bestFit="1" customWidth="1"/>
    <col min="13" max="13" width="19" style="269" bestFit="1" customWidth="1"/>
    <col min="14" max="14" width="53.83203125" style="269" bestFit="1" customWidth="1"/>
    <col min="15" max="15" width="14" style="269" bestFit="1" customWidth="1"/>
    <col min="16" max="16" width="33.5" style="269" bestFit="1" customWidth="1"/>
    <col min="17" max="17" width="15.83203125" style="269" bestFit="1" customWidth="1"/>
    <col min="18" max="18" width="19.1640625" style="269" bestFit="1" customWidth="1"/>
    <col min="19" max="19" width="32.6640625" style="269" bestFit="1" customWidth="1"/>
    <col min="20" max="20" width="33.33203125" style="269" bestFit="1" customWidth="1"/>
    <col min="21" max="21" width="18.1640625" style="269" bestFit="1" customWidth="1"/>
    <col min="22" max="22" width="11" style="269" bestFit="1" customWidth="1"/>
    <col min="23" max="23" width="37.33203125" style="269" bestFit="1" customWidth="1"/>
    <col min="24" max="24" width="10.5" style="269" bestFit="1" customWidth="1"/>
    <col min="25" max="25" width="18" style="269" bestFit="1" customWidth="1"/>
    <col min="26" max="26" width="11.83203125" style="269" bestFit="1" customWidth="1"/>
    <col min="27" max="27" width="35.1640625" style="269" bestFit="1" customWidth="1"/>
    <col min="28" max="16384" width="15.1640625" style="269"/>
  </cols>
  <sheetData>
    <row r="1" spans="1:76" ht="15" customHeight="1" x14ac:dyDescent="0.2">
      <c r="A1" s="266" t="s">
        <v>99</v>
      </c>
      <c r="B1" s="56" t="s">
        <v>0</v>
      </c>
      <c r="C1" s="237"/>
      <c r="D1" s="57"/>
      <c r="E1" s="57" t="s">
        <v>100</v>
      </c>
      <c r="F1" s="57" t="s">
        <v>2</v>
      </c>
      <c r="G1" s="57" t="s">
        <v>3</v>
      </c>
      <c r="H1" s="57" t="s">
        <v>4</v>
      </c>
      <c r="I1" s="57" t="s">
        <v>100</v>
      </c>
      <c r="J1" s="57" t="s">
        <v>2</v>
      </c>
      <c r="K1" s="57" t="s">
        <v>3</v>
      </c>
      <c r="L1" s="57" t="s">
        <v>4</v>
      </c>
      <c r="M1" s="57" t="s">
        <v>100</v>
      </c>
      <c r="N1" s="57" t="s">
        <v>2</v>
      </c>
      <c r="O1" s="57" t="s">
        <v>3</v>
      </c>
      <c r="P1" s="57" t="s">
        <v>4</v>
      </c>
      <c r="Q1" s="57" t="s">
        <v>100</v>
      </c>
      <c r="R1" s="57" t="s">
        <v>101</v>
      </c>
      <c r="S1" s="57" t="s">
        <v>3</v>
      </c>
      <c r="T1" s="57" t="s">
        <v>4</v>
      </c>
      <c r="U1" s="57" t="s">
        <v>100</v>
      </c>
      <c r="V1" s="57" t="s">
        <v>3</v>
      </c>
      <c r="W1" s="57" t="s">
        <v>4</v>
      </c>
      <c r="X1" s="57" t="s">
        <v>100</v>
      </c>
      <c r="Y1" s="57" t="s">
        <v>101</v>
      </c>
      <c r="Z1" s="57" t="s">
        <v>3</v>
      </c>
      <c r="AA1" s="57" t="s">
        <v>4</v>
      </c>
      <c r="AB1" s="5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268"/>
      <c r="AT1" s="268"/>
      <c r="AU1" s="268"/>
      <c r="AV1" s="268"/>
      <c r="AW1" s="268"/>
      <c r="AX1" s="268"/>
      <c r="AY1" s="268"/>
      <c r="AZ1" s="268"/>
      <c r="BA1" s="268"/>
      <c r="BB1" s="268"/>
      <c r="BC1" s="268"/>
      <c r="BD1" s="268"/>
      <c r="BE1" s="268"/>
      <c r="BF1" s="268"/>
      <c r="BG1" s="268"/>
      <c r="BH1" s="268"/>
      <c r="BI1" s="268"/>
      <c r="BJ1" s="268"/>
      <c r="BK1" s="268"/>
      <c r="BL1" s="268"/>
      <c r="BM1" s="268"/>
      <c r="BN1" s="268"/>
      <c r="BO1" s="268"/>
      <c r="BP1" s="268"/>
      <c r="BQ1" s="268"/>
      <c r="BR1" s="268"/>
      <c r="BS1" s="268"/>
      <c r="BT1" s="268"/>
      <c r="BU1" s="268"/>
      <c r="BV1" s="268"/>
      <c r="BW1" s="268"/>
      <c r="BX1" s="268"/>
    </row>
    <row r="2" spans="1:76" customFormat="1" ht="15" hidden="1" customHeight="1" x14ac:dyDescent="0.2">
      <c r="A2" s="61">
        <v>1</v>
      </c>
      <c r="B2" s="233" t="s">
        <v>102</v>
      </c>
      <c r="C2" s="238" t="s">
        <v>629</v>
      </c>
      <c r="D2" s="63" t="s">
        <v>103</v>
      </c>
      <c r="E2" s="64" t="s">
        <v>104</v>
      </c>
      <c r="F2" s="64" t="s">
        <v>105</v>
      </c>
      <c r="G2" s="64"/>
      <c r="H2" s="65" t="s">
        <v>106</v>
      </c>
      <c r="I2" s="66" t="s">
        <v>107</v>
      </c>
      <c r="J2" s="66" t="s">
        <v>108</v>
      </c>
      <c r="K2" s="66">
        <v>9880179793</v>
      </c>
      <c r="L2" s="67" t="s">
        <v>109</v>
      </c>
      <c r="M2" s="68" t="s">
        <v>110</v>
      </c>
      <c r="N2" s="68" t="s">
        <v>111</v>
      </c>
      <c r="O2" s="68"/>
      <c r="P2" s="69" t="s">
        <v>112</v>
      </c>
      <c r="Q2" s="70" t="s">
        <v>113</v>
      </c>
      <c r="R2" s="70" t="s">
        <v>114</v>
      </c>
      <c r="S2" s="70"/>
      <c r="T2" s="71" t="s">
        <v>115</v>
      </c>
      <c r="U2" s="72" t="s">
        <v>116</v>
      </c>
      <c r="V2" s="73">
        <v>9845881197</v>
      </c>
      <c r="W2" s="74" t="s">
        <v>117</v>
      </c>
      <c r="X2" s="75" t="s">
        <v>118</v>
      </c>
      <c r="Y2" s="75" t="s">
        <v>85</v>
      </c>
      <c r="Z2" s="75">
        <v>9008490539</v>
      </c>
      <c r="AA2" s="76" t="s">
        <v>119</v>
      </c>
      <c r="AB2" s="75" t="s">
        <v>120</v>
      </c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8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</row>
    <row r="3" spans="1:76" customFormat="1" ht="15" hidden="1" customHeight="1" x14ac:dyDescent="0.2">
      <c r="A3" s="61">
        <v>3</v>
      </c>
      <c r="B3" s="234" t="s">
        <v>133</v>
      </c>
      <c r="C3" s="238" t="s">
        <v>629</v>
      </c>
      <c r="D3" s="85" t="s">
        <v>134</v>
      </c>
      <c r="E3" s="79" t="s">
        <v>135</v>
      </c>
      <c r="F3" s="79" t="s">
        <v>136</v>
      </c>
      <c r="G3" s="79">
        <v>41939533</v>
      </c>
      <c r="H3" s="65" t="s">
        <v>137</v>
      </c>
      <c r="I3" s="66" t="s">
        <v>138</v>
      </c>
      <c r="J3" s="66" t="s">
        <v>139</v>
      </c>
      <c r="K3" s="66" t="s">
        <v>140</v>
      </c>
      <c r="L3" s="81" t="s">
        <v>141</v>
      </c>
      <c r="M3" s="82" t="s">
        <v>142</v>
      </c>
      <c r="N3" s="82" t="s">
        <v>143</v>
      </c>
      <c r="O3" s="86">
        <v>9740091318</v>
      </c>
      <c r="P3" s="69" t="s">
        <v>144</v>
      </c>
      <c r="Q3" s="87" t="s">
        <v>145</v>
      </c>
      <c r="R3" s="87" t="s">
        <v>146</v>
      </c>
      <c r="S3" s="87" t="s">
        <v>147</v>
      </c>
      <c r="T3" s="71" t="s">
        <v>148</v>
      </c>
      <c r="U3" s="88" t="s">
        <v>149</v>
      </c>
      <c r="V3" s="88">
        <v>9810201586</v>
      </c>
      <c r="W3" s="89" t="s">
        <v>150</v>
      </c>
      <c r="X3" s="90" t="s">
        <v>151</v>
      </c>
      <c r="Y3" s="90" t="s">
        <v>13</v>
      </c>
      <c r="Z3" s="90">
        <v>9611671155</v>
      </c>
      <c r="AA3" s="76" t="s">
        <v>152</v>
      </c>
      <c r="AB3" s="75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</row>
    <row r="4" spans="1:76" customFormat="1" ht="15" hidden="1" customHeight="1" x14ac:dyDescent="0.2">
      <c r="A4" s="61">
        <v>5</v>
      </c>
      <c r="B4" s="236" t="s">
        <v>5</v>
      </c>
      <c r="C4" s="242" t="s">
        <v>629</v>
      </c>
      <c r="D4" s="63" t="s">
        <v>134</v>
      </c>
      <c r="E4" s="64" t="s">
        <v>6</v>
      </c>
      <c r="F4" s="64" t="s">
        <v>7</v>
      </c>
      <c r="G4" s="64">
        <v>9900177270</v>
      </c>
      <c r="H4" s="80" t="s">
        <v>156</v>
      </c>
      <c r="I4" s="92"/>
      <c r="J4" s="92"/>
      <c r="K4" s="92"/>
      <c r="L4" s="92"/>
      <c r="M4" s="93"/>
      <c r="N4" s="93"/>
      <c r="O4" s="93"/>
      <c r="P4" s="93"/>
      <c r="Q4" s="94"/>
      <c r="R4" s="94"/>
      <c r="S4" s="94"/>
      <c r="T4" s="94"/>
      <c r="U4" s="95"/>
      <c r="V4" s="95"/>
      <c r="W4" s="95"/>
      <c r="X4" s="96"/>
      <c r="Y4" s="96"/>
      <c r="Z4" s="96"/>
      <c r="AA4" s="96"/>
      <c r="AB4" s="96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</row>
    <row r="5" spans="1:76" ht="15" customHeight="1" x14ac:dyDescent="0.2">
      <c r="A5" s="270">
        <v>1</v>
      </c>
      <c r="B5" s="62" t="s">
        <v>8</v>
      </c>
      <c r="C5" s="239"/>
      <c r="D5" s="259" t="s">
        <v>157</v>
      </c>
      <c r="E5" s="79" t="s">
        <v>9</v>
      </c>
      <c r="F5" s="79" t="s">
        <v>10</v>
      </c>
      <c r="G5" s="79">
        <v>9739702727</v>
      </c>
      <c r="H5" s="271" t="s">
        <v>158</v>
      </c>
      <c r="I5" s="66" t="s">
        <v>159</v>
      </c>
      <c r="J5" s="66" t="s">
        <v>160</v>
      </c>
      <c r="K5" s="66"/>
      <c r="L5" s="66"/>
      <c r="M5" s="82"/>
      <c r="N5" s="82"/>
      <c r="O5" s="82"/>
      <c r="P5" s="82"/>
      <c r="Q5" s="87"/>
      <c r="R5" s="87"/>
      <c r="S5" s="87"/>
      <c r="T5" s="87"/>
      <c r="U5" s="73"/>
      <c r="V5" s="73"/>
      <c r="W5" s="73"/>
      <c r="X5" s="273"/>
      <c r="Y5" s="273"/>
      <c r="Z5" s="273"/>
      <c r="AA5" s="273"/>
      <c r="AB5" s="273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75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  <c r="BH5" s="268"/>
      <c r="BI5" s="268"/>
      <c r="BJ5" s="268"/>
      <c r="BK5" s="268"/>
      <c r="BL5" s="268"/>
      <c r="BM5" s="268"/>
      <c r="BN5" s="268"/>
      <c r="BO5" s="268"/>
      <c r="BP5" s="268"/>
      <c r="BQ5" s="268"/>
      <c r="BR5" s="268"/>
      <c r="BS5" s="268"/>
      <c r="BT5" s="268"/>
      <c r="BU5" s="268"/>
      <c r="BV5" s="268"/>
      <c r="BW5" s="268"/>
      <c r="BX5" s="268"/>
    </row>
    <row r="6" spans="1:76" ht="15" customHeight="1" x14ac:dyDescent="0.2">
      <c r="A6" s="270">
        <v>2</v>
      </c>
      <c r="B6" s="62" t="s">
        <v>162</v>
      </c>
      <c r="C6" s="239"/>
      <c r="D6" s="258" t="s">
        <v>163</v>
      </c>
      <c r="E6" s="276" t="s">
        <v>164</v>
      </c>
      <c r="F6" s="276" t="s">
        <v>85</v>
      </c>
      <c r="G6" s="276">
        <v>9945273155</v>
      </c>
      <c r="H6" s="271" t="s">
        <v>165</v>
      </c>
      <c r="I6" s="277" t="s">
        <v>166</v>
      </c>
      <c r="J6" s="277" t="s">
        <v>85</v>
      </c>
      <c r="K6" s="277"/>
      <c r="L6" s="277"/>
      <c r="M6" s="278"/>
      <c r="N6" s="278"/>
      <c r="O6" s="278"/>
      <c r="P6" s="278"/>
      <c r="Q6" s="279"/>
      <c r="R6" s="279"/>
      <c r="S6" s="279"/>
      <c r="T6" s="279"/>
      <c r="U6" s="280"/>
      <c r="V6" s="280"/>
      <c r="W6" s="280"/>
      <c r="X6" s="281"/>
      <c r="Y6" s="281"/>
      <c r="Z6" s="281"/>
      <c r="AA6" s="281"/>
      <c r="AB6" s="281"/>
      <c r="AC6" s="275"/>
      <c r="AD6" s="275"/>
      <c r="AE6" s="275"/>
      <c r="AF6" s="275"/>
      <c r="AG6" s="275"/>
      <c r="AH6" s="275"/>
      <c r="AI6" s="275"/>
      <c r="AJ6" s="275"/>
      <c r="AK6" s="275"/>
      <c r="AL6" s="275"/>
      <c r="AM6" s="275"/>
      <c r="AN6" s="275"/>
      <c r="AO6" s="275"/>
      <c r="AP6" s="275"/>
      <c r="AQ6" s="275"/>
      <c r="AR6" s="275"/>
      <c r="AS6" s="268"/>
      <c r="AT6" s="268"/>
      <c r="AU6" s="268"/>
      <c r="AV6" s="268"/>
      <c r="AW6" s="268"/>
      <c r="AX6" s="268"/>
      <c r="AY6" s="268"/>
      <c r="AZ6" s="268"/>
      <c r="BA6" s="268"/>
      <c r="BB6" s="268"/>
      <c r="BC6" s="268"/>
      <c r="BD6" s="268"/>
      <c r="BE6" s="268"/>
      <c r="BF6" s="268"/>
      <c r="BG6" s="268"/>
      <c r="BH6" s="268"/>
      <c r="BI6" s="268"/>
      <c r="BJ6" s="268"/>
      <c r="BK6" s="268"/>
      <c r="BL6" s="268"/>
      <c r="BM6" s="268"/>
      <c r="BN6" s="268"/>
      <c r="BO6" s="268"/>
      <c r="BP6" s="268"/>
      <c r="BQ6" s="268"/>
      <c r="BR6" s="268"/>
      <c r="BS6" s="268"/>
      <c r="BT6" s="268"/>
      <c r="BU6" s="268"/>
      <c r="BV6" s="268"/>
      <c r="BW6" s="268"/>
      <c r="BX6" s="268"/>
    </row>
    <row r="7" spans="1:76" ht="15" customHeight="1" x14ac:dyDescent="0.2">
      <c r="A7" s="270">
        <v>3</v>
      </c>
      <c r="B7" s="62" t="s">
        <v>177</v>
      </c>
      <c r="C7" s="239"/>
      <c r="D7" s="258" t="s">
        <v>178</v>
      </c>
      <c r="E7" s="79" t="s">
        <v>179</v>
      </c>
      <c r="F7" s="79" t="s">
        <v>10</v>
      </c>
      <c r="G7" s="79">
        <v>9645011129</v>
      </c>
      <c r="H7" s="285" t="s">
        <v>180</v>
      </c>
      <c r="I7" s="66" t="s">
        <v>181</v>
      </c>
      <c r="J7" s="66" t="s">
        <v>10</v>
      </c>
      <c r="K7" s="66">
        <v>9946430015</v>
      </c>
      <c r="L7" s="272" t="s">
        <v>182</v>
      </c>
      <c r="M7" s="69" t="s">
        <v>1406</v>
      </c>
      <c r="N7" s="82" t="s">
        <v>1407</v>
      </c>
      <c r="O7" s="82"/>
      <c r="P7" s="82"/>
      <c r="Q7" s="87"/>
      <c r="R7" s="87"/>
      <c r="S7" s="87"/>
      <c r="T7" s="87"/>
      <c r="U7" s="73"/>
      <c r="V7" s="73"/>
      <c r="W7" s="73"/>
      <c r="X7" s="273"/>
      <c r="Y7" s="273"/>
      <c r="Z7" s="273"/>
      <c r="AA7" s="273"/>
      <c r="AB7" s="273"/>
      <c r="AC7" s="275"/>
      <c r="AD7" s="275"/>
      <c r="AE7" s="275"/>
      <c r="AF7" s="275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75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  <c r="BH7" s="268"/>
      <c r="BI7" s="268"/>
      <c r="BJ7" s="268"/>
      <c r="BK7" s="268"/>
      <c r="BL7" s="268"/>
      <c r="BM7" s="268"/>
      <c r="BN7" s="268"/>
      <c r="BO7" s="268"/>
      <c r="BP7" s="268"/>
      <c r="BQ7" s="268"/>
      <c r="BR7" s="268"/>
      <c r="BS7" s="268"/>
      <c r="BT7" s="268"/>
      <c r="BU7" s="268"/>
      <c r="BV7" s="268"/>
      <c r="BW7" s="268"/>
      <c r="BX7" s="268"/>
    </row>
    <row r="8" spans="1:76" customFormat="1" ht="15" hidden="1" customHeight="1" x14ac:dyDescent="0.2">
      <c r="A8" s="61">
        <v>11</v>
      </c>
      <c r="B8" s="249" t="s">
        <v>14</v>
      </c>
      <c r="C8" s="238" t="s">
        <v>629</v>
      </c>
      <c r="D8" s="63" t="s">
        <v>183</v>
      </c>
      <c r="E8" s="64" t="s">
        <v>15</v>
      </c>
      <c r="F8" s="64" t="s">
        <v>16</v>
      </c>
      <c r="G8" s="64" t="s">
        <v>17</v>
      </c>
      <c r="H8" s="80" t="s">
        <v>184</v>
      </c>
      <c r="I8" s="110" t="s">
        <v>185</v>
      </c>
      <c r="J8" s="110" t="s">
        <v>186</v>
      </c>
      <c r="K8" s="110" t="s">
        <v>187</v>
      </c>
      <c r="L8" s="81" t="s">
        <v>188</v>
      </c>
      <c r="M8" s="111" t="s">
        <v>189</v>
      </c>
      <c r="N8" s="111"/>
      <c r="O8" s="111">
        <v>9980971444</v>
      </c>
      <c r="P8" s="69" t="s">
        <v>190</v>
      </c>
      <c r="Q8" s="112"/>
      <c r="R8" s="112"/>
      <c r="S8" s="112"/>
      <c r="T8" s="112"/>
      <c r="U8" s="88"/>
      <c r="V8" s="88"/>
      <c r="W8" s="88"/>
      <c r="X8" s="90"/>
      <c r="Y8" s="90"/>
      <c r="Z8" s="90"/>
      <c r="AA8" s="90"/>
      <c r="AB8" s="90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</row>
    <row r="9" spans="1:76" customFormat="1" ht="15" hidden="1" customHeight="1" x14ac:dyDescent="0.2">
      <c r="A9" s="61">
        <v>12</v>
      </c>
      <c r="B9" s="249" t="s">
        <v>626</v>
      </c>
      <c r="C9" s="238" t="s">
        <v>629</v>
      </c>
      <c r="D9" s="63" t="s">
        <v>191</v>
      </c>
      <c r="E9" s="64" t="s">
        <v>192</v>
      </c>
      <c r="F9" s="64" t="s">
        <v>193</v>
      </c>
      <c r="G9" s="109" t="s">
        <v>194</v>
      </c>
      <c r="H9" s="80" t="s">
        <v>195</v>
      </c>
      <c r="I9" s="110" t="s">
        <v>196</v>
      </c>
      <c r="J9" s="110" t="s">
        <v>197</v>
      </c>
      <c r="K9" s="110">
        <v>49146016</v>
      </c>
      <c r="L9" s="81" t="s">
        <v>198</v>
      </c>
      <c r="M9" s="114" t="s">
        <v>199</v>
      </c>
      <c r="N9" s="111" t="s">
        <v>200</v>
      </c>
      <c r="O9" s="111" t="s">
        <v>201</v>
      </c>
      <c r="P9" s="69" t="s">
        <v>202</v>
      </c>
      <c r="Q9" s="112"/>
      <c r="R9" s="112"/>
      <c r="S9" s="112"/>
      <c r="T9" s="112"/>
      <c r="U9" s="88"/>
      <c r="V9" s="88"/>
      <c r="W9" s="88"/>
      <c r="X9" s="90"/>
      <c r="Y9" s="90"/>
      <c r="Z9" s="90"/>
      <c r="AA9" s="90"/>
      <c r="AB9" s="90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</row>
    <row r="10" spans="1:76" customFormat="1" ht="15" hidden="1" customHeight="1" x14ac:dyDescent="0.2">
      <c r="A10" s="61">
        <v>13</v>
      </c>
      <c r="B10" s="235" t="s">
        <v>203</v>
      </c>
      <c r="C10" s="238" t="s">
        <v>629</v>
      </c>
      <c r="D10" s="115" t="s">
        <v>204</v>
      </c>
      <c r="E10" s="79" t="s">
        <v>205</v>
      </c>
      <c r="F10" s="79" t="s">
        <v>10</v>
      </c>
      <c r="G10" s="116"/>
      <c r="H10" s="65" t="s">
        <v>206</v>
      </c>
      <c r="I10" s="66" t="s">
        <v>207</v>
      </c>
      <c r="J10" s="117"/>
      <c r="K10" s="66">
        <v>9916347501</v>
      </c>
      <c r="L10" s="81" t="s">
        <v>208</v>
      </c>
      <c r="M10" s="82" t="s">
        <v>209</v>
      </c>
      <c r="N10" s="82" t="s">
        <v>210</v>
      </c>
      <c r="O10" s="82">
        <v>9972096370</v>
      </c>
      <c r="P10" s="69" t="s">
        <v>211</v>
      </c>
      <c r="Q10" s="70" t="s">
        <v>212</v>
      </c>
      <c r="R10" s="70" t="s">
        <v>213</v>
      </c>
      <c r="S10" s="70"/>
      <c r="T10" s="118"/>
      <c r="U10" s="72" t="s">
        <v>214</v>
      </c>
      <c r="V10" s="72">
        <v>8978895550</v>
      </c>
      <c r="W10" s="74" t="s">
        <v>216</v>
      </c>
      <c r="X10" s="75"/>
      <c r="Y10" s="75"/>
      <c r="Z10" s="75"/>
      <c r="AA10" s="75"/>
      <c r="AB10" s="75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8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</row>
    <row r="11" spans="1:76" customFormat="1" ht="15" hidden="1" customHeight="1" x14ac:dyDescent="0.2">
      <c r="A11" s="61">
        <v>14</v>
      </c>
      <c r="B11" s="236" t="s">
        <v>21</v>
      </c>
      <c r="C11" s="242" t="s">
        <v>629</v>
      </c>
      <c r="D11" s="63" t="s">
        <v>217</v>
      </c>
      <c r="E11" s="64" t="s">
        <v>22</v>
      </c>
      <c r="F11" s="64" t="s">
        <v>23</v>
      </c>
      <c r="G11" s="64">
        <v>9717244855</v>
      </c>
      <c r="H11" s="64" t="s">
        <v>218</v>
      </c>
      <c r="I11" s="99" t="s">
        <v>219</v>
      </c>
      <c r="J11" s="119"/>
      <c r="K11" s="66">
        <v>9871207603</v>
      </c>
      <c r="L11" s="66"/>
      <c r="M11" s="68" t="s">
        <v>220</v>
      </c>
      <c r="N11" s="68" t="s">
        <v>221</v>
      </c>
      <c r="O11" s="82"/>
      <c r="P11" s="69" t="s">
        <v>222</v>
      </c>
      <c r="Q11" s="70" t="s">
        <v>223</v>
      </c>
      <c r="R11" s="70"/>
      <c r="S11" s="70">
        <v>9910161144</v>
      </c>
      <c r="T11" s="120" t="s">
        <v>224</v>
      </c>
      <c r="U11" s="72" t="s">
        <v>225</v>
      </c>
      <c r="V11" s="72">
        <v>9811305472</v>
      </c>
      <c r="W11" s="121" t="s">
        <v>226</v>
      </c>
      <c r="X11" s="75"/>
      <c r="Y11" s="75"/>
      <c r="Z11" s="75"/>
      <c r="AA11" s="75"/>
      <c r="AB11" s="75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8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</row>
    <row r="12" spans="1:76" customFormat="1" ht="15" hidden="1" customHeight="1" x14ac:dyDescent="0.2">
      <c r="A12" s="61">
        <v>15</v>
      </c>
      <c r="B12" s="249" t="s">
        <v>29</v>
      </c>
      <c r="C12" s="238" t="s">
        <v>629</v>
      </c>
      <c r="D12" s="63" t="s">
        <v>122</v>
      </c>
      <c r="E12" s="64" t="s">
        <v>227</v>
      </c>
      <c r="F12" s="64" t="s">
        <v>34</v>
      </c>
      <c r="G12" s="122">
        <v>9008030811</v>
      </c>
      <c r="H12" s="113" t="s">
        <v>228</v>
      </c>
      <c r="I12" s="66" t="s">
        <v>229</v>
      </c>
      <c r="J12" s="66" t="s">
        <v>28</v>
      </c>
      <c r="K12" s="66" t="s">
        <v>230</v>
      </c>
      <c r="L12" s="123" t="s">
        <v>231</v>
      </c>
      <c r="M12" s="68" t="s">
        <v>30</v>
      </c>
      <c r="N12" s="68" t="s">
        <v>31</v>
      </c>
      <c r="O12" s="68">
        <v>8105766553</v>
      </c>
      <c r="P12" s="83" t="s">
        <v>232</v>
      </c>
      <c r="Q12" s="70"/>
      <c r="R12" s="70"/>
      <c r="S12" s="70"/>
      <c r="T12" s="70"/>
      <c r="U12" s="72"/>
      <c r="V12" s="72"/>
      <c r="W12" s="72"/>
      <c r="X12" s="75"/>
      <c r="Y12" s="75"/>
      <c r="Z12" s="75"/>
      <c r="AA12" s="75"/>
      <c r="AB12" s="75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</row>
    <row r="13" spans="1:76" ht="15" customHeight="1" x14ac:dyDescent="0.2">
      <c r="A13" s="270">
        <v>5</v>
      </c>
      <c r="B13" s="62" t="s">
        <v>233</v>
      </c>
      <c r="C13" s="239"/>
      <c r="D13" s="258" t="s">
        <v>122</v>
      </c>
      <c r="E13" s="286" t="s">
        <v>234</v>
      </c>
      <c r="F13" s="79" t="s">
        <v>235</v>
      </c>
      <c r="G13" s="79"/>
      <c r="H13" s="271" t="s">
        <v>236</v>
      </c>
      <c r="I13" s="287" t="s">
        <v>237</v>
      </c>
      <c r="J13" s="66" t="s">
        <v>41</v>
      </c>
      <c r="K13" s="66">
        <v>9949579540</v>
      </c>
      <c r="L13" s="288" t="s">
        <v>238</v>
      </c>
      <c r="M13" s="289" t="s">
        <v>239</v>
      </c>
      <c r="N13" s="82" t="s">
        <v>240</v>
      </c>
      <c r="O13" s="82" t="s">
        <v>241</v>
      </c>
      <c r="P13" s="290" t="s">
        <v>242</v>
      </c>
      <c r="Q13" s="291" t="s">
        <v>239</v>
      </c>
      <c r="R13" s="87" t="s">
        <v>240</v>
      </c>
      <c r="S13" s="87"/>
      <c r="T13" s="144" t="s">
        <v>242</v>
      </c>
      <c r="U13" s="73" t="s">
        <v>243</v>
      </c>
      <c r="V13" s="73"/>
      <c r="W13" s="292" t="s">
        <v>244</v>
      </c>
      <c r="X13" s="273"/>
      <c r="Y13" s="273"/>
      <c r="Z13" s="273"/>
      <c r="AA13" s="273"/>
      <c r="AB13" s="273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75"/>
      <c r="AS13" s="268"/>
      <c r="AT13" s="268"/>
      <c r="AU13" s="268"/>
      <c r="AV13" s="268"/>
      <c r="AW13" s="268"/>
      <c r="AX13" s="268"/>
      <c r="AY13" s="268"/>
      <c r="AZ13" s="268"/>
      <c r="BA13" s="268"/>
      <c r="BB13" s="268"/>
      <c r="BC13" s="268"/>
      <c r="BD13" s="268"/>
      <c r="BE13" s="268"/>
      <c r="BF13" s="268"/>
      <c r="BG13" s="268"/>
      <c r="BH13" s="268"/>
      <c r="BI13" s="268"/>
      <c r="BJ13" s="268"/>
      <c r="BK13" s="268"/>
      <c r="BL13" s="268"/>
      <c r="BM13" s="268"/>
      <c r="BN13" s="268"/>
      <c r="BO13" s="268"/>
      <c r="BP13" s="268"/>
      <c r="BQ13" s="268"/>
      <c r="BR13" s="268"/>
      <c r="BS13" s="268"/>
      <c r="BT13" s="268"/>
      <c r="BU13" s="268"/>
      <c r="BV13" s="268"/>
      <c r="BW13" s="268"/>
      <c r="BX13" s="268"/>
    </row>
    <row r="14" spans="1:76" customFormat="1" ht="15" hidden="1" customHeight="1" x14ac:dyDescent="0.2">
      <c r="A14" s="61">
        <v>17</v>
      </c>
      <c r="B14" s="233" t="s">
        <v>627</v>
      </c>
      <c r="C14" s="238" t="s">
        <v>629</v>
      </c>
      <c r="D14" s="108" t="s">
        <v>245</v>
      </c>
      <c r="E14" s="64" t="s">
        <v>246</v>
      </c>
      <c r="F14" s="64" t="s">
        <v>139</v>
      </c>
      <c r="G14" s="64" t="s">
        <v>247</v>
      </c>
      <c r="H14" s="113" t="s">
        <v>248</v>
      </c>
      <c r="I14" s="99" t="s">
        <v>249</v>
      </c>
      <c r="J14" s="99">
        <v>9591618077</v>
      </c>
      <c r="K14" s="130" t="s">
        <v>250</v>
      </c>
      <c r="L14" s="99"/>
      <c r="M14" s="68" t="s">
        <v>251</v>
      </c>
      <c r="N14" s="68" t="s">
        <v>252</v>
      </c>
      <c r="O14" s="68">
        <v>9036994032</v>
      </c>
      <c r="P14" s="127" t="s">
        <v>253</v>
      </c>
      <c r="Q14" s="70" t="s">
        <v>254</v>
      </c>
      <c r="R14" s="70" t="s">
        <v>85</v>
      </c>
      <c r="S14" s="70">
        <v>9845300269</v>
      </c>
      <c r="T14" s="71" t="s">
        <v>255</v>
      </c>
      <c r="U14" s="72" t="s">
        <v>256</v>
      </c>
      <c r="V14" s="72">
        <v>9620752222</v>
      </c>
      <c r="W14" s="74" t="s">
        <v>257</v>
      </c>
      <c r="X14" s="75" t="s">
        <v>258</v>
      </c>
      <c r="Y14" s="75" t="s">
        <v>38</v>
      </c>
      <c r="Z14" s="75">
        <v>9632318009</v>
      </c>
      <c r="AA14" s="131" t="s">
        <v>259</v>
      </c>
      <c r="AB14" s="75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</row>
    <row r="15" spans="1:76" customFormat="1" ht="15" hidden="1" customHeight="1" x14ac:dyDescent="0.2">
      <c r="A15" s="61">
        <v>18</v>
      </c>
      <c r="B15" s="233" t="s">
        <v>260</v>
      </c>
      <c r="C15" s="238" t="s">
        <v>629</v>
      </c>
      <c r="D15" s="108"/>
      <c r="E15" s="64" t="s">
        <v>261</v>
      </c>
      <c r="F15" s="64" t="s">
        <v>262</v>
      </c>
      <c r="G15" s="64">
        <v>9880592609</v>
      </c>
      <c r="H15" s="80" t="s">
        <v>263</v>
      </c>
      <c r="I15" s="99" t="s">
        <v>264</v>
      </c>
      <c r="J15" s="99" t="s">
        <v>13</v>
      </c>
      <c r="K15" s="130">
        <v>90045597777</v>
      </c>
      <c r="L15" s="81" t="s">
        <v>265</v>
      </c>
      <c r="M15" s="68" t="s">
        <v>266</v>
      </c>
      <c r="N15" s="68" t="s">
        <v>267</v>
      </c>
      <c r="O15" s="68"/>
      <c r="P15" s="69" t="s">
        <v>268</v>
      </c>
      <c r="Q15" s="70"/>
      <c r="R15" s="70"/>
      <c r="S15" s="70"/>
      <c r="T15" s="71"/>
      <c r="U15" s="72"/>
      <c r="V15" s="72"/>
      <c r="W15" s="89"/>
      <c r="X15" s="75"/>
      <c r="Y15" s="75"/>
      <c r="Z15" s="75"/>
      <c r="AA15" s="131"/>
      <c r="AB15" s="75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</row>
    <row r="16" spans="1:76" customFormat="1" ht="15" hidden="1" customHeight="1" x14ac:dyDescent="0.2">
      <c r="A16" s="61">
        <v>19</v>
      </c>
      <c r="B16" s="233" t="s">
        <v>269</v>
      </c>
      <c r="C16" s="238" t="s">
        <v>629</v>
      </c>
      <c r="D16" s="63" t="s">
        <v>270</v>
      </c>
      <c r="E16" s="91" t="s">
        <v>271</v>
      </c>
      <c r="F16" s="91"/>
      <c r="G16" s="91"/>
      <c r="H16" s="91"/>
      <c r="I16" s="92" t="s">
        <v>272</v>
      </c>
      <c r="J16" s="92"/>
      <c r="K16" s="92"/>
      <c r="L16" s="92"/>
      <c r="M16" s="93"/>
      <c r="N16" s="93"/>
      <c r="O16" s="93"/>
      <c r="P16" s="93"/>
      <c r="Q16" s="94"/>
      <c r="R16" s="94"/>
      <c r="S16" s="94"/>
      <c r="T16" s="94"/>
      <c r="U16" s="95"/>
      <c r="V16" s="95"/>
      <c r="W16" s="95"/>
      <c r="X16" s="96"/>
      <c r="Y16" s="96"/>
      <c r="Z16" s="96"/>
      <c r="AA16" s="96"/>
      <c r="AB16" s="96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</row>
    <row r="17" spans="1:76" customFormat="1" ht="15" hidden="1" customHeight="1" x14ac:dyDescent="0.2">
      <c r="A17" s="61">
        <v>20</v>
      </c>
      <c r="B17" s="236" t="s">
        <v>273</v>
      </c>
      <c r="C17" s="242" t="s">
        <v>629</v>
      </c>
      <c r="D17" s="98"/>
      <c r="E17" s="132" t="s">
        <v>274</v>
      </c>
      <c r="F17" s="132" t="s">
        <v>13</v>
      </c>
      <c r="G17" s="132">
        <v>9886892901</v>
      </c>
      <c r="H17" s="133" t="s">
        <v>275</v>
      </c>
      <c r="I17" s="134" t="s">
        <v>276</v>
      </c>
      <c r="J17" s="134" t="s">
        <v>277</v>
      </c>
      <c r="K17" s="134"/>
      <c r="L17" s="135" t="s">
        <v>278</v>
      </c>
      <c r="M17" s="68"/>
      <c r="N17" s="68"/>
      <c r="O17" s="68"/>
      <c r="P17" s="68"/>
      <c r="Q17" s="72"/>
      <c r="R17" s="72"/>
      <c r="S17" s="72"/>
      <c r="T17" s="72"/>
      <c r="U17" s="75"/>
      <c r="V17" s="75"/>
      <c r="W17" s="75"/>
      <c r="X17" s="77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</row>
    <row r="18" spans="1:76" customFormat="1" ht="15" hidden="1" customHeight="1" x14ac:dyDescent="0.2">
      <c r="A18" s="61">
        <v>21</v>
      </c>
      <c r="B18" s="249" t="s">
        <v>279</v>
      </c>
      <c r="C18" s="238" t="s">
        <v>629</v>
      </c>
      <c r="D18" s="63" t="s">
        <v>217</v>
      </c>
      <c r="E18" s="64" t="s">
        <v>280</v>
      </c>
      <c r="F18" s="64" t="s">
        <v>281</v>
      </c>
      <c r="G18" s="64">
        <v>9885429292</v>
      </c>
      <c r="H18" s="65" t="s">
        <v>282</v>
      </c>
      <c r="I18" s="99" t="s">
        <v>283</v>
      </c>
      <c r="J18" s="99"/>
      <c r="K18" s="99">
        <v>9845452040</v>
      </c>
      <c r="L18" s="136" t="s">
        <v>284</v>
      </c>
      <c r="M18" s="68" t="s">
        <v>285</v>
      </c>
      <c r="N18" s="68" t="s">
        <v>286</v>
      </c>
      <c r="O18" s="68">
        <v>9986699123</v>
      </c>
      <c r="P18" s="68"/>
      <c r="Q18" s="70"/>
      <c r="R18" s="70"/>
      <c r="S18" s="70"/>
      <c r="T18" s="70"/>
      <c r="U18" s="72"/>
      <c r="V18" s="72"/>
      <c r="W18" s="72"/>
      <c r="X18" s="75"/>
      <c r="Y18" s="75"/>
      <c r="Z18" s="75"/>
      <c r="AA18" s="75"/>
      <c r="AB18" s="75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8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</row>
    <row r="19" spans="1:76" customFormat="1" ht="15" hidden="1" customHeight="1" x14ac:dyDescent="0.2">
      <c r="A19" s="61">
        <v>22</v>
      </c>
      <c r="B19" s="233" t="s">
        <v>287</v>
      </c>
      <c r="C19" s="238" t="s">
        <v>629</v>
      </c>
      <c r="D19" s="137" t="s">
        <v>288</v>
      </c>
      <c r="E19" s="64" t="s">
        <v>289</v>
      </c>
      <c r="F19" s="64" t="s">
        <v>290</v>
      </c>
      <c r="G19" s="64"/>
      <c r="H19" s="113" t="s">
        <v>291</v>
      </c>
      <c r="I19" s="99" t="s">
        <v>292</v>
      </c>
      <c r="J19" s="99" t="s">
        <v>293</v>
      </c>
      <c r="K19" s="99" t="s">
        <v>294</v>
      </c>
      <c r="L19" s="81" t="s">
        <v>295</v>
      </c>
      <c r="M19" s="68" t="s">
        <v>296</v>
      </c>
      <c r="N19" s="68" t="s">
        <v>41</v>
      </c>
      <c r="O19" s="68">
        <v>9910345541</v>
      </c>
      <c r="P19" s="69" t="s">
        <v>297</v>
      </c>
      <c r="Q19" s="112" t="s">
        <v>298</v>
      </c>
      <c r="R19" s="112" t="s">
        <v>13</v>
      </c>
      <c r="S19" s="112"/>
      <c r="T19" s="71" t="s">
        <v>299</v>
      </c>
      <c r="U19" s="88"/>
      <c r="V19" s="88"/>
      <c r="W19" s="88"/>
      <c r="X19" s="90"/>
      <c r="Y19" s="90"/>
      <c r="Z19" s="90"/>
      <c r="AA19" s="90"/>
      <c r="AB19" s="138" t="s">
        <v>300</v>
      </c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</row>
    <row r="20" spans="1:76" ht="15" customHeight="1" x14ac:dyDescent="0.2">
      <c r="A20" s="270">
        <v>6</v>
      </c>
      <c r="B20" s="62" t="s">
        <v>301</v>
      </c>
      <c r="C20" s="239"/>
      <c r="D20" s="258"/>
      <c r="E20" s="276" t="s">
        <v>302</v>
      </c>
      <c r="F20" s="276" t="s">
        <v>136</v>
      </c>
      <c r="G20" s="276" t="s">
        <v>303</v>
      </c>
      <c r="H20" s="276"/>
      <c r="I20" s="277"/>
      <c r="J20" s="277"/>
      <c r="K20" s="277"/>
      <c r="L20" s="277"/>
      <c r="M20" s="278"/>
      <c r="N20" s="278"/>
      <c r="O20" s="278"/>
      <c r="P20" s="278"/>
      <c r="Q20" s="279"/>
      <c r="R20" s="279"/>
      <c r="S20" s="279"/>
      <c r="T20" s="279"/>
      <c r="U20" s="280"/>
      <c r="V20" s="280"/>
      <c r="W20" s="280"/>
      <c r="X20" s="281"/>
      <c r="Y20" s="281"/>
      <c r="Z20" s="281"/>
      <c r="AA20" s="281"/>
      <c r="AB20" s="281"/>
      <c r="AC20" s="275"/>
      <c r="AD20" s="275"/>
      <c r="AE20" s="275"/>
      <c r="AF20" s="275"/>
      <c r="AG20" s="275"/>
      <c r="AH20" s="275"/>
      <c r="AI20" s="275"/>
      <c r="AJ20" s="275"/>
      <c r="AK20" s="275"/>
      <c r="AL20" s="275"/>
      <c r="AM20" s="275"/>
      <c r="AN20" s="275"/>
      <c r="AO20" s="275"/>
      <c r="AP20" s="275"/>
      <c r="AQ20" s="275"/>
      <c r="AR20" s="275"/>
      <c r="AS20" s="268"/>
      <c r="AT20" s="268"/>
      <c r="AU20" s="268"/>
      <c r="AV20" s="268"/>
      <c r="AW20" s="268"/>
      <c r="AX20" s="268"/>
      <c r="AY20" s="268"/>
      <c r="AZ20" s="268"/>
      <c r="BA20" s="268"/>
      <c r="BB20" s="268"/>
      <c r="BC20" s="268"/>
      <c r="BD20" s="268"/>
      <c r="BE20" s="268"/>
      <c r="BF20" s="268"/>
      <c r="BG20" s="268"/>
      <c r="BH20" s="268"/>
      <c r="BI20" s="268"/>
      <c r="BJ20" s="268"/>
      <c r="BK20" s="268"/>
      <c r="BL20" s="268"/>
      <c r="BM20" s="268"/>
      <c r="BN20" s="268"/>
      <c r="BO20" s="268"/>
      <c r="BP20" s="268"/>
      <c r="BQ20" s="268"/>
      <c r="BR20" s="268"/>
      <c r="BS20" s="268"/>
      <c r="BT20" s="268"/>
      <c r="BU20" s="268"/>
      <c r="BV20" s="268"/>
      <c r="BW20" s="268"/>
      <c r="BX20" s="268"/>
    </row>
    <row r="21" spans="1:76" customFormat="1" ht="15" hidden="1" customHeight="1" x14ac:dyDescent="0.2">
      <c r="A21" s="61">
        <v>24</v>
      </c>
      <c r="B21" s="249" t="s">
        <v>304</v>
      </c>
      <c r="C21" s="238" t="s">
        <v>629</v>
      </c>
      <c r="D21" s="63" t="s">
        <v>305</v>
      </c>
      <c r="E21" s="64" t="s">
        <v>306</v>
      </c>
      <c r="F21" s="64" t="s">
        <v>277</v>
      </c>
      <c r="G21" s="64">
        <v>9880187999</v>
      </c>
      <c r="H21" s="80" t="s">
        <v>307</v>
      </c>
      <c r="I21" s="99" t="s">
        <v>308</v>
      </c>
      <c r="J21" s="99"/>
      <c r="K21" s="66"/>
      <c r="L21" s="99"/>
      <c r="M21" s="68"/>
      <c r="N21" s="68"/>
      <c r="O21" s="68"/>
      <c r="P21" s="68"/>
      <c r="Q21" s="70"/>
      <c r="R21" s="70"/>
      <c r="S21" s="70"/>
      <c r="T21" s="70"/>
      <c r="U21" s="72"/>
      <c r="V21" s="72"/>
      <c r="W21" s="72"/>
      <c r="X21" s="75"/>
      <c r="Y21" s="75"/>
      <c r="Z21" s="75"/>
      <c r="AA21" s="75"/>
      <c r="AB21" s="75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8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</row>
    <row r="22" spans="1:76" ht="15" customHeight="1" x14ac:dyDescent="0.2">
      <c r="A22" s="270">
        <v>7</v>
      </c>
      <c r="B22" s="139" t="s">
        <v>309</v>
      </c>
      <c r="C22" s="240"/>
      <c r="D22" s="262"/>
      <c r="E22" s="79" t="s">
        <v>310</v>
      </c>
      <c r="F22" s="79" t="s">
        <v>38</v>
      </c>
      <c r="G22" s="79" t="s">
        <v>311</v>
      </c>
      <c r="H22" s="225" t="s">
        <v>312</v>
      </c>
      <c r="I22" s="141" t="s">
        <v>313</v>
      </c>
      <c r="J22" s="66" t="s">
        <v>314</v>
      </c>
      <c r="K22" s="66">
        <v>9845551520</v>
      </c>
      <c r="L22" s="288" t="s">
        <v>315</v>
      </c>
      <c r="M22" s="82" t="s">
        <v>316</v>
      </c>
      <c r="N22" s="82" t="s">
        <v>317</v>
      </c>
      <c r="O22" s="82">
        <v>9582346610</v>
      </c>
      <c r="P22" s="283" t="s">
        <v>318</v>
      </c>
      <c r="Q22" s="87" t="s">
        <v>319</v>
      </c>
      <c r="R22" s="87" t="s">
        <v>320</v>
      </c>
      <c r="S22" s="87">
        <v>9911925266</v>
      </c>
      <c r="T22" s="284" t="s">
        <v>321</v>
      </c>
      <c r="U22" s="73" t="s">
        <v>322</v>
      </c>
      <c r="V22" s="73">
        <v>9740236681</v>
      </c>
      <c r="W22" s="293" t="s">
        <v>323</v>
      </c>
      <c r="X22" s="273" t="s">
        <v>324</v>
      </c>
      <c r="Y22" s="273" t="s">
        <v>325</v>
      </c>
      <c r="Z22" s="273" t="s">
        <v>326</v>
      </c>
      <c r="AA22" s="274" t="s">
        <v>327</v>
      </c>
      <c r="AB22" s="273" t="s">
        <v>328</v>
      </c>
      <c r="AC22" s="275">
        <v>9600001833</v>
      </c>
      <c r="AD22" s="275" t="s">
        <v>1172</v>
      </c>
      <c r="AE22" s="275">
        <v>9845194534</v>
      </c>
      <c r="AF22" s="275"/>
      <c r="AG22" s="275"/>
      <c r="AH22" s="275"/>
      <c r="AI22" s="275"/>
      <c r="AJ22" s="275"/>
      <c r="AK22" s="275"/>
      <c r="AL22" s="275"/>
      <c r="AM22" s="275"/>
      <c r="AN22" s="275"/>
      <c r="AO22" s="275"/>
      <c r="AP22" s="275"/>
      <c r="AQ22" s="275"/>
      <c r="AR22" s="275"/>
      <c r="AS22" s="268"/>
      <c r="AT22" s="268"/>
      <c r="AU22" s="268"/>
      <c r="AV22" s="268"/>
      <c r="AW22" s="268"/>
      <c r="AX22" s="268"/>
      <c r="AY22" s="268"/>
      <c r="AZ22" s="268"/>
      <c r="BA22" s="268"/>
      <c r="BB22" s="268"/>
      <c r="BC22" s="268"/>
      <c r="BD22" s="268"/>
      <c r="BE22" s="268"/>
      <c r="BF22" s="268"/>
      <c r="BG22" s="268"/>
      <c r="BH22" s="268"/>
      <c r="BI22" s="268"/>
      <c r="BJ22" s="268"/>
      <c r="BK22" s="268"/>
      <c r="BL22" s="268"/>
      <c r="BM22" s="268"/>
      <c r="BN22" s="268"/>
      <c r="BO22" s="268"/>
      <c r="BP22" s="268"/>
      <c r="BQ22" s="268"/>
      <c r="BR22" s="268"/>
      <c r="BS22" s="268"/>
      <c r="BT22" s="268"/>
      <c r="BU22" s="268"/>
      <c r="BV22" s="268"/>
      <c r="BW22" s="268"/>
      <c r="BX22" s="268"/>
    </row>
    <row r="23" spans="1:76" ht="15" customHeight="1" x14ac:dyDescent="0.2">
      <c r="A23" s="270">
        <v>8</v>
      </c>
      <c r="B23" s="62" t="s">
        <v>329</v>
      </c>
      <c r="C23" s="239"/>
      <c r="D23" s="258"/>
      <c r="E23" s="276" t="s">
        <v>330</v>
      </c>
      <c r="F23" s="276"/>
      <c r="G23" s="276" t="s">
        <v>331</v>
      </c>
      <c r="H23" s="271" t="s">
        <v>332</v>
      </c>
      <c r="I23" s="277"/>
      <c r="J23" s="277"/>
      <c r="K23" s="277"/>
      <c r="L23" s="277"/>
      <c r="M23" s="278"/>
      <c r="N23" s="278"/>
      <c r="O23" s="278"/>
      <c r="P23" s="278"/>
      <c r="Q23" s="279"/>
      <c r="R23" s="279"/>
      <c r="S23" s="279"/>
      <c r="T23" s="279"/>
      <c r="U23" s="280"/>
      <c r="V23" s="280"/>
      <c r="W23" s="280"/>
      <c r="X23" s="281"/>
      <c r="Y23" s="281"/>
      <c r="Z23" s="281"/>
      <c r="AA23" s="281"/>
      <c r="AB23" s="281"/>
      <c r="AC23" s="275"/>
      <c r="AD23" s="275"/>
      <c r="AE23" s="275"/>
      <c r="AF23" s="275"/>
      <c r="AG23" s="275"/>
      <c r="AH23" s="275"/>
      <c r="AI23" s="275"/>
      <c r="AJ23" s="275"/>
      <c r="AK23" s="275"/>
      <c r="AL23" s="275"/>
      <c r="AM23" s="275"/>
      <c r="AN23" s="275"/>
      <c r="AO23" s="275"/>
      <c r="AP23" s="275"/>
      <c r="AQ23" s="275"/>
      <c r="AR23" s="275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8"/>
      <c r="BD23" s="268"/>
      <c r="BE23" s="268"/>
      <c r="BF23" s="268"/>
      <c r="BG23" s="268"/>
      <c r="BH23" s="268"/>
      <c r="BI23" s="268"/>
      <c r="BJ23" s="268"/>
      <c r="BK23" s="268"/>
      <c r="BL23" s="268"/>
      <c r="BM23" s="268"/>
      <c r="BN23" s="268"/>
      <c r="BO23" s="268"/>
      <c r="BP23" s="268"/>
      <c r="BQ23" s="268"/>
      <c r="BR23" s="268"/>
      <c r="BS23" s="268"/>
      <c r="BT23" s="268"/>
      <c r="BU23" s="268"/>
      <c r="BV23" s="268"/>
      <c r="BW23" s="268"/>
      <c r="BX23" s="268"/>
    </row>
    <row r="24" spans="1:76" customFormat="1" ht="15" hidden="1" customHeight="1" x14ac:dyDescent="0.2">
      <c r="A24" s="61">
        <v>27</v>
      </c>
      <c r="B24" s="234" t="s">
        <v>333</v>
      </c>
      <c r="C24" s="238" t="s">
        <v>629</v>
      </c>
      <c r="D24" s="142" t="s">
        <v>217</v>
      </c>
      <c r="E24" s="64" t="s">
        <v>334</v>
      </c>
      <c r="F24" s="64" t="s">
        <v>34</v>
      </c>
      <c r="G24" s="64">
        <v>9686739023</v>
      </c>
      <c r="H24" s="113" t="s">
        <v>335</v>
      </c>
      <c r="I24" s="66" t="s">
        <v>336</v>
      </c>
      <c r="J24" s="66" t="s">
        <v>10</v>
      </c>
      <c r="K24" s="123">
        <v>9901899554</v>
      </c>
      <c r="L24" s="81" t="s">
        <v>337</v>
      </c>
      <c r="M24" s="68" t="s">
        <v>338</v>
      </c>
      <c r="N24" s="68" t="s">
        <v>339</v>
      </c>
      <c r="O24" s="68">
        <v>9871199224</v>
      </c>
      <c r="P24" s="68"/>
      <c r="Q24" s="70" t="s">
        <v>340</v>
      </c>
      <c r="R24" s="70" t="s">
        <v>341</v>
      </c>
      <c r="S24" s="70"/>
      <c r="T24" s="70">
        <v>7259184184</v>
      </c>
      <c r="U24" s="72"/>
      <c r="V24" s="72"/>
      <c r="W24" s="72"/>
      <c r="X24" s="75"/>
      <c r="Y24" s="75"/>
      <c r="Z24" s="75"/>
      <c r="AA24" s="75"/>
      <c r="AB24" s="75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8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</row>
    <row r="25" spans="1:76" customFormat="1" ht="15" hidden="1" customHeight="1" x14ac:dyDescent="0.2">
      <c r="A25" s="61">
        <v>28</v>
      </c>
      <c r="B25" s="250" t="s">
        <v>342</v>
      </c>
      <c r="C25" s="238" t="s">
        <v>629</v>
      </c>
      <c r="D25" s="143" t="s">
        <v>343</v>
      </c>
      <c r="E25" s="79" t="s">
        <v>344</v>
      </c>
      <c r="F25" s="79" t="s">
        <v>345</v>
      </c>
      <c r="G25" s="79">
        <v>9845643000</v>
      </c>
      <c r="H25" s="80" t="s">
        <v>346</v>
      </c>
      <c r="I25" s="66" t="s">
        <v>347</v>
      </c>
      <c r="J25" s="66" t="s">
        <v>348</v>
      </c>
      <c r="K25" s="66">
        <v>9880000500</v>
      </c>
      <c r="L25" s="81" t="s">
        <v>349</v>
      </c>
      <c r="M25" s="82"/>
      <c r="N25" s="82"/>
      <c r="O25" s="82"/>
      <c r="P25" s="82"/>
      <c r="Q25" s="87"/>
      <c r="R25" s="87"/>
      <c r="S25" s="87"/>
      <c r="T25" s="87"/>
      <c r="U25" s="72"/>
      <c r="V25" s="72"/>
      <c r="W25" s="72"/>
      <c r="X25" s="75"/>
      <c r="Y25" s="75"/>
      <c r="Z25" s="75"/>
      <c r="AA25" s="75"/>
      <c r="AB25" s="75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8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</row>
    <row r="26" spans="1:76" customFormat="1" ht="15" hidden="1" customHeight="1" x14ac:dyDescent="0.2">
      <c r="A26" s="61">
        <v>29</v>
      </c>
      <c r="B26" s="234" t="s">
        <v>350</v>
      </c>
      <c r="C26" s="238" t="s">
        <v>629</v>
      </c>
      <c r="D26" s="142" t="s">
        <v>245</v>
      </c>
      <c r="E26" s="79" t="s">
        <v>351</v>
      </c>
      <c r="F26" s="79" t="s">
        <v>352</v>
      </c>
      <c r="G26" s="79">
        <v>9900114874</v>
      </c>
      <c r="H26" s="113" t="s">
        <v>353</v>
      </c>
      <c r="I26" s="66" t="s">
        <v>354</v>
      </c>
      <c r="J26" s="66" t="s">
        <v>355</v>
      </c>
      <c r="K26" s="66">
        <v>9769570640</v>
      </c>
      <c r="L26" s="81" t="s">
        <v>356</v>
      </c>
      <c r="M26" s="82" t="s">
        <v>357</v>
      </c>
      <c r="N26" s="82" t="s">
        <v>358</v>
      </c>
      <c r="O26" s="82">
        <v>9535529292</v>
      </c>
      <c r="P26" s="69" t="s">
        <v>359</v>
      </c>
      <c r="Q26" s="87" t="s">
        <v>360</v>
      </c>
      <c r="R26" s="87">
        <v>9886388005</v>
      </c>
      <c r="S26" s="144" t="s">
        <v>361</v>
      </c>
      <c r="T26" s="87"/>
      <c r="U26" s="72" t="s">
        <v>362</v>
      </c>
      <c r="V26" s="72"/>
      <c r="W26" s="72" t="s">
        <v>364</v>
      </c>
      <c r="X26" s="75" t="s">
        <v>365</v>
      </c>
      <c r="Y26" s="75" t="s">
        <v>366</v>
      </c>
      <c r="Z26" s="75">
        <v>9958777886</v>
      </c>
      <c r="AA26" s="76" t="s">
        <v>367</v>
      </c>
      <c r="AB26" s="75" t="s">
        <v>368</v>
      </c>
      <c r="AC26" s="75" t="s">
        <v>10</v>
      </c>
      <c r="AD26" s="75">
        <v>9831771001</v>
      </c>
      <c r="AE26" s="138" t="s">
        <v>369</v>
      </c>
      <c r="AF26" s="145" t="s">
        <v>370</v>
      </c>
      <c r="AG26" s="145" t="s">
        <v>371</v>
      </c>
      <c r="AH26" s="145">
        <v>9972830000</v>
      </c>
      <c r="AI26" s="146" t="s">
        <v>372</v>
      </c>
      <c r="AJ26" s="147" t="s">
        <v>373</v>
      </c>
      <c r="AK26" s="147" t="s">
        <v>374</v>
      </c>
      <c r="AL26" s="147"/>
      <c r="AM26" s="147"/>
      <c r="AN26" s="75" t="s">
        <v>368</v>
      </c>
      <c r="AO26" s="75" t="s">
        <v>375</v>
      </c>
      <c r="AP26" s="75">
        <v>9831771001</v>
      </c>
      <c r="AQ26" s="138" t="s">
        <v>369</v>
      </c>
      <c r="AR26" s="78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</row>
    <row r="27" spans="1:76" ht="15" customHeight="1" x14ac:dyDescent="0.2">
      <c r="A27" s="270">
        <v>9</v>
      </c>
      <c r="B27" s="62" t="s">
        <v>54</v>
      </c>
      <c r="C27" s="239"/>
      <c r="D27" s="263"/>
      <c r="E27" s="275" t="s">
        <v>55</v>
      </c>
      <c r="F27" s="275" t="s">
        <v>13</v>
      </c>
      <c r="G27" s="275">
        <v>33575328</v>
      </c>
      <c r="H27" s="294" t="s">
        <v>376</v>
      </c>
      <c r="I27" s="275" t="s">
        <v>377</v>
      </c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268"/>
      <c r="BI27" s="268"/>
      <c r="BJ27" s="268"/>
      <c r="BK27" s="268"/>
      <c r="BL27" s="268"/>
      <c r="BM27" s="268"/>
      <c r="BN27" s="268"/>
      <c r="BO27" s="268"/>
      <c r="BP27" s="268"/>
      <c r="BQ27" s="268"/>
      <c r="BR27" s="268"/>
      <c r="BS27" s="268"/>
      <c r="BT27" s="268"/>
      <c r="BU27" s="268"/>
      <c r="BV27" s="268"/>
      <c r="BW27" s="268"/>
      <c r="BX27" s="268"/>
    </row>
    <row r="28" spans="1:76" customFormat="1" ht="15" hidden="1" customHeight="1" x14ac:dyDescent="0.2">
      <c r="A28" s="61">
        <v>31</v>
      </c>
      <c r="B28" s="249" t="s">
        <v>378</v>
      </c>
      <c r="C28" s="238" t="s">
        <v>629</v>
      </c>
      <c r="D28" s="63" t="s">
        <v>379</v>
      </c>
      <c r="E28" s="64" t="s">
        <v>380</v>
      </c>
      <c r="F28" s="64" t="s">
        <v>381</v>
      </c>
      <c r="G28" s="149">
        <v>9980435353</v>
      </c>
      <c r="H28" s="80" t="s">
        <v>382</v>
      </c>
      <c r="I28" s="99" t="s">
        <v>383</v>
      </c>
      <c r="J28" s="99"/>
      <c r="K28" s="99">
        <v>9900930677</v>
      </c>
      <c r="L28" s="99"/>
      <c r="M28" s="82"/>
      <c r="N28" s="68"/>
      <c r="O28" s="68"/>
      <c r="P28" s="68"/>
      <c r="Q28" s="70"/>
      <c r="R28" s="70"/>
      <c r="S28" s="70"/>
      <c r="T28" s="70"/>
      <c r="U28" s="72"/>
      <c r="V28" s="72"/>
      <c r="W28" s="72"/>
      <c r="X28" s="75"/>
      <c r="Y28" s="75"/>
      <c r="Z28" s="75"/>
      <c r="AA28" s="75"/>
      <c r="AB28" s="75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8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</row>
    <row r="29" spans="1:76" customFormat="1" ht="15" hidden="1" customHeight="1" x14ac:dyDescent="0.2">
      <c r="A29" s="61">
        <v>32</v>
      </c>
      <c r="B29" s="243" t="s">
        <v>56</v>
      </c>
      <c r="C29" s="244" t="s">
        <v>629</v>
      </c>
      <c r="D29" s="85"/>
      <c r="E29" s="64" t="s">
        <v>384</v>
      </c>
      <c r="F29" s="64" t="s">
        <v>85</v>
      </c>
      <c r="G29" s="91">
        <v>9886396075</v>
      </c>
      <c r="H29" s="80" t="s">
        <v>385</v>
      </c>
      <c r="I29" s="99" t="s">
        <v>386</v>
      </c>
      <c r="J29" s="99" t="s">
        <v>387</v>
      </c>
      <c r="K29" s="99">
        <v>9900516401</v>
      </c>
      <c r="L29" s="81" t="s">
        <v>388</v>
      </c>
      <c r="M29" s="68" t="s">
        <v>389</v>
      </c>
      <c r="N29" s="68" t="s">
        <v>390</v>
      </c>
      <c r="O29" s="68">
        <v>9980199413</v>
      </c>
      <c r="P29" s="69" t="s">
        <v>391</v>
      </c>
      <c r="Q29" s="70" t="s">
        <v>392</v>
      </c>
      <c r="R29" s="70" t="s">
        <v>10</v>
      </c>
      <c r="S29" s="70" t="s">
        <v>393</v>
      </c>
      <c r="T29" s="129" t="s">
        <v>394</v>
      </c>
      <c r="U29" s="72"/>
      <c r="V29" s="72"/>
      <c r="W29" s="72"/>
      <c r="X29" s="75"/>
      <c r="Y29" s="75"/>
      <c r="Z29" s="75"/>
      <c r="AA29" s="75"/>
      <c r="AB29" s="75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</row>
    <row r="30" spans="1:76" customFormat="1" ht="15" hidden="1" customHeight="1" x14ac:dyDescent="0.2">
      <c r="A30" s="61">
        <v>33</v>
      </c>
      <c r="B30" s="233" t="s">
        <v>395</v>
      </c>
      <c r="C30" s="238" t="s">
        <v>629</v>
      </c>
      <c r="D30" s="63"/>
      <c r="E30" s="79" t="s">
        <v>396</v>
      </c>
      <c r="F30" s="79" t="s">
        <v>397</v>
      </c>
      <c r="G30" s="79">
        <v>9845177566</v>
      </c>
      <c r="H30" s="113" t="s">
        <v>398</v>
      </c>
      <c r="I30" s="66" t="s">
        <v>399</v>
      </c>
      <c r="J30" s="66" t="s">
        <v>400</v>
      </c>
      <c r="K30" s="66">
        <v>9686567582</v>
      </c>
      <c r="L30" s="136" t="s">
        <v>401</v>
      </c>
      <c r="M30" s="68" t="s">
        <v>402</v>
      </c>
      <c r="N30" s="68" t="s">
        <v>235</v>
      </c>
      <c r="O30" s="68">
        <v>9845194534</v>
      </c>
      <c r="P30" s="127" t="s">
        <v>403</v>
      </c>
      <c r="Q30" s="150" t="s">
        <v>404</v>
      </c>
      <c r="R30" s="70" t="s">
        <v>405</v>
      </c>
      <c r="S30" s="70">
        <v>9686568105</v>
      </c>
      <c r="T30" s="71" t="s">
        <v>406</v>
      </c>
      <c r="U30" s="72"/>
      <c r="V30" s="72"/>
      <c r="W30" s="72"/>
      <c r="X30" s="75"/>
      <c r="Y30" s="75"/>
      <c r="Z30" s="75"/>
      <c r="AA30" s="75"/>
      <c r="AB30" s="75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</row>
    <row r="31" spans="1:76" customFormat="1" ht="15" hidden="1" customHeight="1" x14ac:dyDescent="0.2">
      <c r="A31" s="61">
        <v>34</v>
      </c>
      <c r="B31" s="251" t="s">
        <v>407</v>
      </c>
      <c r="C31" s="238" t="s">
        <v>629</v>
      </c>
      <c r="D31" s="151"/>
      <c r="E31" s="91" t="s">
        <v>351</v>
      </c>
      <c r="F31" s="91"/>
      <c r="G31" s="91"/>
      <c r="H31" s="91"/>
      <c r="I31" s="92"/>
      <c r="J31" s="92"/>
      <c r="K31" s="92"/>
      <c r="L31" s="92"/>
      <c r="M31" s="93"/>
      <c r="N31" s="93"/>
      <c r="O31" s="93"/>
      <c r="P31" s="93"/>
      <c r="Q31" s="94"/>
      <c r="R31" s="94"/>
      <c r="S31" s="94"/>
      <c r="T31" s="94"/>
      <c r="U31" s="95"/>
      <c r="V31" s="95"/>
      <c r="W31" s="95"/>
      <c r="X31" s="96"/>
      <c r="Y31" s="96"/>
      <c r="Z31" s="96"/>
      <c r="AA31" s="96"/>
      <c r="AB31" s="96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</row>
    <row r="32" spans="1:76" customFormat="1" ht="15" hidden="1" customHeight="1" x14ac:dyDescent="0.2">
      <c r="A32" s="61">
        <v>35</v>
      </c>
      <c r="B32" s="249" t="s">
        <v>628</v>
      </c>
      <c r="C32" s="238" t="s">
        <v>629</v>
      </c>
      <c r="D32" s="63"/>
      <c r="E32" s="64" t="s">
        <v>408</v>
      </c>
      <c r="F32" s="64" t="s">
        <v>10</v>
      </c>
      <c r="G32" s="64">
        <v>9810721845</v>
      </c>
      <c r="H32" s="80" t="s">
        <v>409</v>
      </c>
      <c r="I32" s="99" t="s">
        <v>410</v>
      </c>
      <c r="J32" s="99" t="s">
        <v>405</v>
      </c>
      <c r="K32" s="66">
        <v>9740344881</v>
      </c>
      <c r="L32" s="81" t="s">
        <v>411</v>
      </c>
      <c r="M32" s="68"/>
      <c r="N32" s="68"/>
      <c r="O32" s="68"/>
      <c r="P32" s="127"/>
      <c r="Q32" s="70"/>
      <c r="R32" s="70"/>
      <c r="S32" s="70"/>
      <c r="T32" s="129"/>
      <c r="U32" s="72"/>
      <c r="V32" s="72"/>
      <c r="W32" s="72"/>
      <c r="X32" s="75"/>
      <c r="Y32" s="75"/>
      <c r="Z32" s="75"/>
      <c r="AA32" s="75"/>
      <c r="AB32" s="90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</row>
    <row r="33" spans="1:76" ht="15" customHeight="1" x14ac:dyDescent="0.2">
      <c r="A33" s="270">
        <v>10</v>
      </c>
      <c r="B33" s="62" t="s">
        <v>412</v>
      </c>
      <c r="C33" s="239"/>
      <c r="D33" s="258"/>
      <c r="E33" s="276" t="s">
        <v>413</v>
      </c>
      <c r="F33" s="276" t="s">
        <v>85</v>
      </c>
      <c r="G33" s="276">
        <v>9886895897</v>
      </c>
      <c r="H33" s="271" t="s">
        <v>414</v>
      </c>
      <c r="I33" s="277" t="s">
        <v>415</v>
      </c>
      <c r="J33" s="277" t="s">
        <v>416</v>
      </c>
      <c r="K33" s="277">
        <v>9945048004</v>
      </c>
      <c r="L33" s="272" t="s">
        <v>417</v>
      </c>
      <c r="M33" s="278"/>
      <c r="N33" s="278"/>
      <c r="O33" s="278"/>
      <c r="P33" s="278"/>
      <c r="Q33" s="279"/>
      <c r="R33" s="279"/>
      <c r="S33" s="279"/>
      <c r="T33" s="279"/>
      <c r="U33" s="280"/>
      <c r="V33" s="280"/>
      <c r="W33" s="280"/>
      <c r="X33" s="281"/>
      <c r="Y33" s="281"/>
      <c r="Z33" s="281"/>
      <c r="AA33" s="281"/>
      <c r="AB33" s="281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275"/>
      <c r="AP33" s="275"/>
      <c r="AQ33" s="275"/>
      <c r="AR33" s="275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268"/>
      <c r="BD33" s="268"/>
      <c r="BE33" s="268"/>
      <c r="BF33" s="268"/>
      <c r="BG33" s="268"/>
      <c r="BH33" s="268"/>
      <c r="BI33" s="268"/>
      <c r="BJ33" s="268"/>
      <c r="BK33" s="268"/>
      <c r="BL33" s="268"/>
      <c r="BM33" s="268"/>
      <c r="BN33" s="268"/>
      <c r="BO33" s="268"/>
      <c r="BP33" s="268"/>
      <c r="BQ33" s="268"/>
      <c r="BR33" s="268"/>
      <c r="BS33" s="268"/>
      <c r="BT33" s="268"/>
      <c r="BU33" s="268"/>
      <c r="BV33" s="268"/>
      <c r="BW33" s="268"/>
      <c r="BX33" s="268"/>
    </row>
    <row r="34" spans="1:76" customFormat="1" ht="15" hidden="1" customHeight="1" x14ac:dyDescent="0.2">
      <c r="A34" s="61">
        <v>37</v>
      </c>
      <c r="B34" s="233" t="s">
        <v>418</v>
      </c>
      <c r="C34" s="238" t="s">
        <v>629</v>
      </c>
      <c r="D34" s="63" t="s">
        <v>217</v>
      </c>
      <c r="E34" s="64" t="s">
        <v>419</v>
      </c>
      <c r="F34" s="64" t="s">
        <v>420</v>
      </c>
      <c r="G34" s="64"/>
      <c r="H34" s="152" t="s">
        <v>421</v>
      </c>
      <c r="I34" s="99" t="s">
        <v>422</v>
      </c>
      <c r="J34" s="99" t="s">
        <v>34</v>
      </c>
      <c r="K34" s="66">
        <v>9916173449</v>
      </c>
      <c r="L34" s="123" t="s">
        <v>423</v>
      </c>
      <c r="M34" s="68" t="s">
        <v>424</v>
      </c>
      <c r="N34" s="68" t="s">
        <v>10</v>
      </c>
      <c r="O34" s="68"/>
      <c r="P34" s="127" t="s">
        <v>425</v>
      </c>
      <c r="Q34" s="70" t="s">
        <v>426</v>
      </c>
      <c r="R34" s="70" t="s">
        <v>13</v>
      </c>
      <c r="S34" s="70">
        <v>9886637542</v>
      </c>
      <c r="T34" s="71" t="s">
        <v>427</v>
      </c>
      <c r="U34" s="72" t="s">
        <v>428</v>
      </c>
      <c r="V34" s="72">
        <v>9980377554</v>
      </c>
      <c r="W34" s="121" t="s">
        <v>430</v>
      </c>
      <c r="X34" s="75"/>
      <c r="Y34" s="75"/>
      <c r="Z34" s="75"/>
      <c r="AA34" s="75"/>
      <c r="AB34" s="75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8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</row>
    <row r="35" spans="1:76" ht="15" customHeight="1" x14ac:dyDescent="0.2">
      <c r="A35" s="270">
        <v>11</v>
      </c>
      <c r="B35" s="62" t="s">
        <v>431</v>
      </c>
      <c r="C35" s="239"/>
      <c r="D35" s="260" t="s">
        <v>217</v>
      </c>
      <c r="E35" s="101" t="s">
        <v>432</v>
      </c>
      <c r="F35" s="101" t="s">
        <v>136</v>
      </c>
      <c r="G35" s="101">
        <v>8042212000</v>
      </c>
      <c r="H35" s="153"/>
      <c r="I35" s="102" t="s">
        <v>433</v>
      </c>
      <c r="J35" s="102" t="s">
        <v>405</v>
      </c>
      <c r="K35" s="102">
        <v>9986724241</v>
      </c>
      <c r="L35" s="103" t="s">
        <v>434</v>
      </c>
      <c r="M35" s="104" t="s">
        <v>435</v>
      </c>
      <c r="N35" s="104" t="s">
        <v>13</v>
      </c>
      <c r="O35" s="104">
        <v>9972001131</v>
      </c>
      <c r="P35" s="283" t="s">
        <v>436</v>
      </c>
      <c r="Q35" s="105"/>
      <c r="R35" s="105"/>
      <c r="S35" s="105"/>
      <c r="T35" s="154"/>
      <c r="U35" s="106"/>
      <c r="V35" s="106"/>
      <c r="W35" s="106"/>
      <c r="X35" s="107"/>
      <c r="Y35" s="107"/>
      <c r="Z35" s="107"/>
      <c r="AA35" s="107"/>
      <c r="AB35" s="107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268"/>
      <c r="BD35" s="268"/>
      <c r="BE35" s="268"/>
      <c r="BF35" s="268"/>
      <c r="BG35" s="268"/>
      <c r="BH35" s="268"/>
      <c r="BI35" s="268"/>
      <c r="BJ35" s="268"/>
      <c r="BK35" s="268"/>
      <c r="BL35" s="268"/>
      <c r="BM35" s="268"/>
      <c r="BN35" s="268"/>
      <c r="BO35" s="268"/>
      <c r="BP35" s="268"/>
      <c r="BQ35" s="268"/>
      <c r="BR35" s="268"/>
      <c r="BS35" s="268"/>
      <c r="BT35" s="268"/>
      <c r="BU35" s="268"/>
      <c r="BV35" s="268"/>
      <c r="BW35" s="268"/>
      <c r="BX35" s="268"/>
    </row>
    <row r="36" spans="1:76" customFormat="1" ht="15" hidden="1" customHeight="1" x14ac:dyDescent="0.2">
      <c r="A36" s="61">
        <v>39</v>
      </c>
      <c r="B36" s="249" t="s">
        <v>437</v>
      </c>
      <c r="C36" s="238" t="s">
        <v>629</v>
      </c>
      <c r="D36" s="63" t="s">
        <v>217</v>
      </c>
      <c r="E36" s="64"/>
      <c r="F36" s="64"/>
      <c r="G36" s="64"/>
      <c r="H36" s="113"/>
      <c r="I36" s="99" t="s">
        <v>438</v>
      </c>
      <c r="J36" s="66" t="s">
        <v>439</v>
      </c>
      <c r="K36" s="99">
        <v>9790968779</v>
      </c>
      <c r="L36" s="81" t="s">
        <v>440</v>
      </c>
      <c r="M36" s="68" t="s">
        <v>441</v>
      </c>
      <c r="N36" s="68" t="s">
        <v>442</v>
      </c>
      <c r="O36" s="68">
        <v>9177593031</v>
      </c>
      <c r="P36" s="69" t="s">
        <v>443</v>
      </c>
      <c r="Q36" s="70" t="s">
        <v>324</v>
      </c>
      <c r="R36" s="70"/>
      <c r="S36" s="87"/>
      <c r="T36" s="70"/>
      <c r="U36" s="72"/>
      <c r="V36" s="72"/>
      <c r="W36" s="72"/>
      <c r="X36" s="75"/>
      <c r="Y36" s="75"/>
      <c r="Z36" s="75"/>
      <c r="AA36" s="75"/>
      <c r="AB36" s="75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8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</row>
    <row r="37" spans="1:76" ht="15" customHeight="1" x14ac:dyDescent="0.2">
      <c r="A37" s="270">
        <v>12</v>
      </c>
      <c r="B37" s="62" t="s">
        <v>60</v>
      </c>
      <c r="C37" s="239"/>
      <c r="D37" s="258"/>
      <c r="E37" s="276" t="s">
        <v>771</v>
      </c>
      <c r="F37" s="276" t="s">
        <v>445</v>
      </c>
      <c r="G37" s="276">
        <v>9741577007</v>
      </c>
      <c r="H37" s="271" t="s">
        <v>446</v>
      </c>
      <c r="I37" s="277" t="s">
        <v>447</v>
      </c>
      <c r="J37" s="277" t="s">
        <v>448</v>
      </c>
      <c r="K37" s="277">
        <v>9538369222</v>
      </c>
      <c r="L37" s="272" t="s">
        <v>449</v>
      </c>
      <c r="M37" s="278"/>
      <c r="N37" s="278"/>
      <c r="O37" s="278"/>
      <c r="P37" s="278"/>
      <c r="Q37" s="279"/>
      <c r="R37" s="279"/>
      <c r="S37" s="279"/>
      <c r="T37" s="279"/>
      <c r="U37" s="280"/>
      <c r="V37" s="280"/>
      <c r="W37" s="280"/>
      <c r="X37" s="281"/>
      <c r="Y37" s="281"/>
      <c r="Z37" s="281"/>
      <c r="AA37" s="281"/>
      <c r="AB37" s="281"/>
      <c r="AC37" s="275"/>
      <c r="AD37" s="275"/>
      <c r="AE37" s="275"/>
      <c r="AF37" s="275"/>
      <c r="AG37" s="275"/>
      <c r="AH37" s="275"/>
      <c r="AI37" s="275"/>
      <c r="AJ37" s="275"/>
      <c r="AK37" s="275"/>
      <c r="AL37" s="275"/>
      <c r="AM37" s="275"/>
      <c r="AN37" s="275"/>
      <c r="AO37" s="275"/>
      <c r="AP37" s="275"/>
      <c r="AQ37" s="275"/>
      <c r="AR37" s="275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268"/>
      <c r="BD37" s="268"/>
      <c r="BE37" s="268"/>
      <c r="BF37" s="268"/>
      <c r="BG37" s="268"/>
      <c r="BH37" s="268"/>
      <c r="BI37" s="268"/>
      <c r="BJ37" s="268"/>
      <c r="BK37" s="268"/>
      <c r="BL37" s="268"/>
      <c r="BM37" s="268"/>
      <c r="BN37" s="268"/>
      <c r="BO37" s="268"/>
      <c r="BP37" s="268"/>
      <c r="BQ37" s="268"/>
      <c r="BR37" s="268"/>
      <c r="BS37" s="268"/>
      <c r="BT37" s="268"/>
      <c r="BU37" s="268"/>
      <c r="BV37" s="268"/>
      <c r="BW37" s="268"/>
      <c r="BX37" s="268"/>
    </row>
    <row r="38" spans="1:76" customFormat="1" ht="15" hidden="1" customHeight="1" x14ac:dyDescent="0.2">
      <c r="A38" s="61">
        <v>41</v>
      </c>
      <c r="B38" s="233" t="s">
        <v>450</v>
      </c>
      <c r="C38" s="238" t="s">
        <v>629</v>
      </c>
      <c r="D38" s="63" t="s">
        <v>217</v>
      </c>
      <c r="E38" s="64" t="s">
        <v>451</v>
      </c>
      <c r="F38" s="64" t="s">
        <v>452</v>
      </c>
      <c r="G38" s="155">
        <v>9900569066</v>
      </c>
      <c r="H38" s="80" t="s">
        <v>453</v>
      </c>
      <c r="I38" s="156" t="s">
        <v>454</v>
      </c>
      <c r="J38" s="156" t="s">
        <v>160</v>
      </c>
      <c r="K38" s="156">
        <v>9845543389</v>
      </c>
      <c r="L38" s="157" t="s">
        <v>455</v>
      </c>
      <c r="M38" s="68" t="s">
        <v>456</v>
      </c>
      <c r="N38" s="68" t="s">
        <v>457</v>
      </c>
      <c r="O38" s="68"/>
      <c r="P38" s="68"/>
      <c r="Q38" s="70"/>
      <c r="R38" s="70"/>
      <c r="S38" s="70"/>
      <c r="T38" s="70"/>
      <c r="U38" s="72"/>
      <c r="V38" s="72"/>
      <c r="W38" s="72"/>
      <c r="X38" s="75"/>
      <c r="Y38" s="75"/>
      <c r="Z38" s="75"/>
      <c r="AA38" s="75"/>
      <c r="AB38" s="75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8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</row>
    <row r="39" spans="1:76" customFormat="1" ht="15" hidden="1" customHeight="1" x14ac:dyDescent="0.2">
      <c r="A39" s="61">
        <v>42</v>
      </c>
      <c r="B39" s="236" t="s">
        <v>63</v>
      </c>
      <c r="C39" s="238" t="s">
        <v>629</v>
      </c>
      <c r="D39" s="63" t="s">
        <v>217</v>
      </c>
      <c r="E39" s="64" t="s">
        <v>64</v>
      </c>
      <c r="F39" s="64" t="s">
        <v>65</v>
      </c>
      <c r="G39" s="64">
        <v>9845212809</v>
      </c>
      <c r="H39" s="65" t="s">
        <v>458</v>
      </c>
      <c r="I39" s="99" t="s">
        <v>459</v>
      </c>
      <c r="J39" s="99"/>
      <c r="K39" s="99">
        <v>9845024513</v>
      </c>
      <c r="L39" s="81" t="s">
        <v>460</v>
      </c>
      <c r="M39" s="68"/>
      <c r="N39" s="68"/>
      <c r="O39" s="68"/>
      <c r="P39" s="68"/>
      <c r="Q39" s="70"/>
      <c r="R39" s="70"/>
      <c r="S39" s="70"/>
      <c r="T39" s="70"/>
      <c r="U39" s="72"/>
      <c r="V39" s="72"/>
      <c r="W39" s="72"/>
      <c r="X39" s="75"/>
      <c r="Y39" s="75"/>
      <c r="Z39" s="75"/>
      <c r="AA39" s="75"/>
      <c r="AB39" s="75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8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</row>
    <row r="40" spans="1:76" customFormat="1" ht="15" hidden="1" customHeight="1" x14ac:dyDescent="0.2">
      <c r="A40" s="61">
        <v>44</v>
      </c>
      <c r="B40" s="236" t="s">
        <v>463</v>
      </c>
      <c r="C40" s="238" t="s">
        <v>629</v>
      </c>
      <c r="D40" s="63"/>
      <c r="E40" s="91" t="s">
        <v>464</v>
      </c>
      <c r="F40" s="91" t="s">
        <v>10</v>
      </c>
      <c r="G40" s="91">
        <v>9845012805</v>
      </c>
      <c r="H40" s="91"/>
      <c r="I40" s="92"/>
      <c r="J40" s="92"/>
      <c r="K40" s="92"/>
      <c r="L40" s="92"/>
      <c r="M40" s="93"/>
      <c r="N40" s="93"/>
      <c r="O40" s="93"/>
      <c r="P40" s="93"/>
      <c r="Q40" s="94"/>
      <c r="R40" s="94"/>
      <c r="S40" s="94"/>
      <c r="T40" s="94"/>
      <c r="U40" s="95"/>
      <c r="V40" s="95"/>
      <c r="W40" s="95"/>
      <c r="X40" s="96"/>
      <c r="Y40" s="96"/>
      <c r="Z40" s="96"/>
      <c r="AA40" s="96"/>
      <c r="AB40" s="96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</row>
    <row r="41" spans="1:76" ht="15" customHeight="1" x14ac:dyDescent="0.2">
      <c r="A41" s="270">
        <v>13</v>
      </c>
      <c r="B41" s="62" t="s">
        <v>465</v>
      </c>
      <c r="C41" s="239"/>
      <c r="D41" s="258"/>
      <c r="E41" s="276" t="s">
        <v>466</v>
      </c>
      <c r="F41" s="276" t="s">
        <v>31</v>
      </c>
      <c r="G41" s="276">
        <v>30038301</v>
      </c>
      <c r="H41" s="271" t="s">
        <v>467</v>
      </c>
      <c r="I41" s="277" t="s">
        <v>468</v>
      </c>
      <c r="J41" s="277" t="s">
        <v>469</v>
      </c>
      <c r="K41" s="277">
        <v>8722400040</v>
      </c>
      <c r="L41" s="272" t="s">
        <v>470</v>
      </c>
      <c r="M41" s="278"/>
      <c r="N41" s="278"/>
      <c r="O41" s="278"/>
      <c r="P41" s="278"/>
      <c r="Q41" s="279"/>
      <c r="R41" s="279"/>
      <c r="S41" s="279"/>
      <c r="T41" s="279"/>
      <c r="U41" s="280"/>
      <c r="V41" s="280"/>
      <c r="W41" s="280"/>
      <c r="X41" s="281"/>
      <c r="Y41" s="281"/>
      <c r="Z41" s="281"/>
      <c r="AA41" s="281"/>
      <c r="AB41" s="281"/>
      <c r="AC41" s="275"/>
      <c r="AD41" s="275"/>
      <c r="AE41" s="275"/>
      <c r="AF41" s="275"/>
      <c r="AG41" s="275"/>
      <c r="AH41" s="275"/>
      <c r="AI41" s="275"/>
      <c r="AJ41" s="275"/>
      <c r="AK41" s="275"/>
      <c r="AL41" s="275"/>
      <c r="AM41" s="275"/>
      <c r="AN41" s="275"/>
      <c r="AO41" s="275"/>
      <c r="AP41" s="275"/>
      <c r="AQ41" s="275"/>
      <c r="AR41" s="275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  <c r="BG41" s="268"/>
      <c r="BH41" s="268"/>
      <c r="BI41" s="268"/>
      <c r="BJ41" s="268"/>
      <c r="BK41" s="268"/>
      <c r="BL41" s="268"/>
      <c r="BM41" s="268"/>
      <c r="BN41" s="268"/>
      <c r="BO41" s="268"/>
      <c r="BP41" s="268"/>
      <c r="BQ41" s="268"/>
      <c r="BR41" s="268"/>
      <c r="BS41" s="268"/>
      <c r="BT41" s="268"/>
      <c r="BU41" s="268"/>
      <c r="BV41" s="268"/>
      <c r="BW41" s="268"/>
      <c r="BX41" s="268"/>
    </row>
    <row r="42" spans="1:76" customFormat="1" ht="15" hidden="1" customHeight="1" x14ac:dyDescent="0.2">
      <c r="A42" s="61">
        <v>46</v>
      </c>
      <c r="B42" s="236" t="s">
        <v>68</v>
      </c>
      <c r="C42" s="242" t="s">
        <v>629</v>
      </c>
      <c r="D42" s="63"/>
      <c r="E42" s="91" t="s">
        <v>69</v>
      </c>
      <c r="F42" s="91" t="s">
        <v>70</v>
      </c>
      <c r="G42" s="91">
        <v>9740522292</v>
      </c>
      <c r="H42" s="80" t="s">
        <v>471</v>
      </c>
      <c r="I42" s="92" t="s">
        <v>472</v>
      </c>
      <c r="J42" s="92" t="s">
        <v>457</v>
      </c>
      <c r="K42" s="92">
        <v>4442246004</v>
      </c>
      <c r="L42" s="81" t="s">
        <v>473</v>
      </c>
      <c r="M42" s="93"/>
      <c r="N42" s="93"/>
      <c r="O42" s="93"/>
      <c r="P42" s="93"/>
      <c r="Q42" s="94"/>
      <c r="R42" s="94"/>
      <c r="S42" s="94"/>
      <c r="T42" s="94"/>
      <c r="U42" s="95"/>
      <c r="V42" s="95"/>
      <c r="W42" s="95"/>
      <c r="X42" s="96"/>
      <c r="Y42" s="96"/>
      <c r="Z42" s="96"/>
      <c r="AA42" s="96"/>
      <c r="AB42" s="96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</row>
    <row r="43" spans="1:76" customFormat="1" ht="15" hidden="1" customHeight="1" x14ac:dyDescent="0.2">
      <c r="A43" s="61">
        <v>47</v>
      </c>
      <c r="B43" s="233" t="s">
        <v>474</v>
      </c>
      <c r="C43" s="238" t="s">
        <v>629</v>
      </c>
      <c r="D43" s="63" t="s">
        <v>217</v>
      </c>
      <c r="E43" s="64" t="s">
        <v>475</v>
      </c>
      <c r="F43" s="64" t="s">
        <v>476</v>
      </c>
      <c r="G43" s="64">
        <v>9840158535</v>
      </c>
      <c r="H43" s="65" t="s">
        <v>477</v>
      </c>
      <c r="I43" s="99" t="s">
        <v>478</v>
      </c>
      <c r="J43" s="119" t="s">
        <v>479</v>
      </c>
      <c r="K43" s="67">
        <v>9880151830</v>
      </c>
      <c r="L43" s="123" t="s">
        <v>480</v>
      </c>
      <c r="M43" s="68" t="s">
        <v>481</v>
      </c>
      <c r="N43" s="68"/>
      <c r="O43" s="68">
        <v>9952960977</v>
      </c>
      <c r="P43" s="69" t="s">
        <v>482</v>
      </c>
      <c r="Q43" s="70"/>
      <c r="R43" s="70"/>
      <c r="S43" s="70"/>
      <c r="T43" s="70"/>
      <c r="U43" s="72"/>
      <c r="V43" s="72"/>
      <c r="W43" s="72"/>
      <c r="X43" s="75"/>
      <c r="Y43" s="75"/>
      <c r="Z43" s="75"/>
      <c r="AA43" s="75"/>
      <c r="AB43" s="75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8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</row>
    <row r="44" spans="1:76" customFormat="1" ht="15" hidden="1" customHeight="1" x14ac:dyDescent="0.2">
      <c r="A44" s="61">
        <v>48</v>
      </c>
      <c r="B44" s="236" t="s">
        <v>71</v>
      </c>
      <c r="C44" s="238" t="s">
        <v>629</v>
      </c>
      <c r="D44" s="63"/>
      <c r="E44" s="64" t="s">
        <v>483</v>
      </c>
      <c r="F44" s="64" t="s">
        <v>13</v>
      </c>
      <c r="G44" s="64">
        <v>9886370029</v>
      </c>
      <c r="H44" s="80" t="s">
        <v>484</v>
      </c>
      <c r="I44" s="92"/>
      <c r="J44" s="92"/>
      <c r="K44" s="92"/>
      <c r="L44" s="92"/>
      <c r="M44" s="93"/>
      <c r="N44" s="93"/>
      <c r="O44" s="93"/>
      <c r="P44" s="93"/>
      <c r="Q44" s="94"/>
      <c r="R44" s="94"/>
      <c r="S44" s="94"/>
      <c r="T44" s="94"/>
      <c r="U44" s="95"/>
      <c r="V44" s="95"/>
      <c r="W44" s="95"/>
      <c r="X44" s="96"/>
      <c r="Y44" s="96"/>
      <c r="Z44" s="96"/>
      <c r="AA44" s="96"/>
      <c r="AB44" s="96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</row>
    <row r="45" spans="1:76" customFormat="1" ht="15" customHeight="1" x14ac:dyDescent="0.2">
      <c r="A45" s="61">
        <v>14</v>
      </c>
      <c r="B45" s="320" t="s">
        <v>485</v>
      </c>
      <c r="C45" s="321"/>
      <c r="D45" s="100"/>
      <c r="E45" s="158" t="s">
        <v>486</v>
      </c>
      <c r="F45" s="158" t="s">
        <v>487</v>
      </c>
      <c r="G45" s="158" t="s">
        <v>488</v>
      </c>
      <c r="H45" s="159" t="s">
        <v>489</v>
      </c>
      <c r="I45" s="160" t="s">
        <v>490</v>
      </c>
      <c r="J45" s="160" t="s">
        <v>41</v>
      </c>
      <c r="K45" s="160"/>
      <c r="L45" s="161" t="s">
        <v>491</v>
      </c>
      <c r="M45" s="162" t="s">
        <v>492</v>
      </c>
      <c r="N45" s="162" t="s">
        <v>493</v>
      </c>
      <c r="O45" s="162">
        <v>9845133978</v>
      </c>
      <c r="P45" s="163" t="s">
        <v>494</v>
      </c>
      <c r="Q45" s="164" t="s">
        <v>495</v>
      </c>
      <c r="R45" s="164" t="s">
        <v>10</v>
      </c>
      <c r="S45" s="164">
        <v>9900260087</v>
      </c>
      <c r="T45" s="165" t="s">
        <v>496</v>
      </c>
      <c r="U45" s="166" t="s">
        <v>497</v>
      </c>
      <c r="V45" s="106">
        <v>9035091115</v>
      </c>
      <c r="W45" s="106" t="s">
        <v>499</v>
      </c>
      <c r="X45" s="107"/>
      <c r="Y45" s="107" t="s">
        <v>1390</v>
      </c>
      <c r="Z45" s="107"/>
      <c r="AA45" s="107"/>
      <c r="AB45" s="107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</row>
    <row r="46" spans="1:76" ht="15" customHeight="1" x14ac:dyDescent="0.2">
      <c r="A46" s="270">
        <v>15</v>
      </c>
      <c r="B46" s="62" t="s">
        <v>500</v>
      </c>
      <c r="C46" s="239"/>
      <c r="D46" s="261" t="s">
        <v>501</v>
      </c>
      <c r="E46" s="79" t="s">
        <v>502</v>
      </c>
      <c r="F46" s="79" t="s">
        <v>70</v>
      </c>
      <c r="G46" s="79">
        <v>9945280407</v>
      </c>
      <c r="H46" s="271" t="s">
        <v>503</v>
      </c>
      <c r="I46" s="66" t="s">
        <v>504</v>
      </c>
      <c r="J46" s="66" t="s">
        <v>505</v>
      </c>
      <c r="K46" s="66">
        <v>9844535983</v>
      </c>
      <c r="L46" s="66"/>
      <c r="M46" s="82"/>
      <c r="N46" s="82"/>
      <c r="O46" s="82"/>
      <c r="P46" s="82"/>
      <c r="Q46" s="87"/>
      <c r="R46" s="87"/>
      <c r="S46" s="87"/>
      <c r="T46" s="87"/>
      <c r="U46" s="73"/>
      <c r="V46" s="73"/>
      <c r="W46" s="73"/>
      <c r="X46" s="273"/>
      <c r="Y46" s="273"/>
      <c r="Z46" s="273"/>
      <c r="AA46" s="273"/>
      <c r="AB46" s="273"/>
      <c r="AC46" s="275"/>
      <c r="AD46" s="275"/>
      <c r="AE46" s="275"/>
      <c r="AF46" s="275"/>
      <c r="AG46" s="275"/>
      <c r="AH46" s="275"/>
      <c r="AI46" s="275"/>
      <c r="AJ46" s="275"/>
      <c r="AK46" s="275"/>
      <c r="AL46" s="275"/>
      <c r="AM46" s="275"/>
      <c r="AN46" s="275"/>
      <c r="AO46" s="275"/>
      <c r="AP46" s="275"/>
      <c r="AQ46" s="275"/>
      <c r="AR46" s="275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  <c r="BG46" s="268"/>
      <c r="BH46" s="268"/>
      <c r="BI46" s="268"/>
      <c r="BJ46" s="268"/>
      <c r="BK46" s="268"/>
      <c r="BL46" s="268"/>
      <c r="BM46" s="268"/>
      <c r="BN46" s="268"/>
      <c r="BO46" s="268"/>
      <c r="BP46" s="268"/>
      <c r="BQ46" s="268"/>
      <c r="BR46" s="268"/>
      <c r="BS46" s="268"/>
      <c r="BT46" s="268"/>
      <c r="BU46" s="268"/>
      <c r="BV46" s="268"/>
      <c r="BW46" s="268"/>
      <c r="BX46" s="268"/>
    </row>
    <row r="47" spans="1:76" customFormat="1" ht="15" hidden="1" customHeight="1" x14ac:dyDescent="0.2">
      <c r="A47" s="61">
        <v>51</v>
      </c>
      <c r="B47" s="233" t="s">
        <v>506</v>
      </c>
      <c r="C47" s="238" t="s">
        <v>629</v>
      </c>
      <c r="D47" s="108" t="s">
        <v>507</v>
      </c>
      <c r="E47" s="64" t="s">
        <v>508</v>
      </c>
      <c r="F47" s="64" t="s">
        <v>136</v>
      </c>
      <c r="G47" s="109">
        <v>9632433133</v>
      </c>
      <c r="H47" s="80" t="s">
        <v>509</v>
      </c>
      <c r="I47" s="110" t="s">
        <v>510</v>
      </c>
      <c r="J47" s="110" t="s">
        <v>511</v>
      </c>
      <c r="K47" s="110">
        <v>7760686286</v>
      </c>
      <c r="L47" s="110"/>
      <c r="M47" s="111" t="s">
        <v>512</v>
      </c>
      <c r="N47" s="111" t="s">
        <v>513</v>
      </c>
      <c r="O47" s="111">
        <v>9886396791</v>
      </c>
      <c r="P47" s="111"/>
      <c r="Q47" s="112"/>
      <c r="R47" s="112"/>
      <c r="S47" s="112"/>
      <c r="T47" s="112"/>
      <c r="U47" s="88"/>
      <c r="V47" s="88"/>
      <c r="W47" s="88"/>
      <c r="X47" s="90"/>
      <c r="Y47" s="90"/>
      <c r="Z47" s="90"/>
      <c r="AA47" s="90"/>
      <c r="AB47" s="90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</row>
    <row r="48" spans="1:76" ht="15" customHeight="1" x14ac:dyDescent="0.2">
      <c r="A48" s="270">
        <v>16</v>
      </c>
      <c r="B48" s="62" t="s">
        <v>514</v>
      </c>
      <c r="C48" s="239"/>
      <c r="D48" s="258" t="s">
        <v>217</v>
      </c>
      <c r="E48" s="79" t="s">
        <v>515</v>
      </c>
      <c r="F48" s="79" t="s">
        <v>516</v>
      </c>
      <c r="G48" s="79">
        <v>9845446609</v>
      </c>
      <c r="H48" s="271" t="s">
        <v>517</v>
      </c>
      <c r="I48" s="66"/>
      <c r="J48" s="66"/>
      <c r="K48" s="66"/>
      <c r="L48" s="66"/>
      <c r="M48" s="82"/>
      <c r="N48" s="82"/>
      <c r="O48" s="82"/>
      <c r="P48" s="82"/>
      <c r="Q48" s="87"/>
      <c r="R48" s="87"/>
      <c r="S48" s="87"/>
      <c r="T48" s="87"/>
      <c r="U48" s="73"/>
      <c r="V48" s="73"/>
      <c r="W48" s="73"/>
      <c r="X48" s="273"/>
      <c r="Y48" s="273"/>
      <c r="Z48" s="273"/>
      <c r="AA48" s="273"/>
      <c r="AB48" s="273"/>
      <c r="AC48" s="282"/>
      <c r="AD48" s="282"/>
      <c r="AE48" s="282"/>
      <c r="AF48" s="282"/>
      <c r="AG48" s="282"/>
      <c r="AH48" s="282"/>
      <c r="AI48" s="282"/>
      <c r="AJ48" s="282"/>
      <c r="AK48" s="282"/>
      <c r="AL48" s="282"/>
      <c r="AM48" s="282"/>
      <c r="AN48" s="282"/>
      <c r="AO48" s="282"/>
      <c r="AP48" s="282"/>
      <c r="AQ48" s="282"/>
      <c r="AR48" s="275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8"/>
      <c r="BJ48" s="268"/>
      <c r="BK48" s="268"/>
      <c r="BL48" s="268"/>
      <c r="BM48" s="268"/>
      <c r="BN48" s="268"/>
      <c r="BO48" s="268"/>
      <c r="BP48" s="268"/>
      <c r="BQ48" s="268"/>
      <c r="BR48" s="268"/>
      <c r="BS48" s="268"/>
      <c r="BT48" s="268"/>
      <c r="BU48" s="268"/>
      <c r="BV48" s="268"/>
      <c r="BW48" s="268"/>
      <c r="BX48" s="268"/>
    </row>
    <row r="49" spans="1:76" ht="15" customHeight="1" x14ac:dyDescent="0.2">
      <c r="A49" s="270">
        <v>17</v>
      </c>
      <c r="B49" s="62" t="s">
        <v>518</v>
      </c>
      <c r="C49" s="239"/>
      <c r="D49" s="258"/>
      <c r="E49" s="79" t="s">
        <v>519</v>
      </c>
      <c r="F49" s="79" t="s">
        <v>28</v>
      </c>
      <c r="G49" s="79">
        <v>9886209383</v>
      </c>
      <c r="H49" s="271" t="s">
        <v>520</v>
      </c>
      <c r="I49" s="277" t="s">
        <v>521</v>
      </c>
      <c r="J49" s="277" t="s">
        <v>522</v>
      </c>
      <c r="K49" s="277">
        <v>9008199700</v>
      </c>
      <c r="L49" s="272" t="s">
        <v>523</v>
      </c>
      <c r="M49" s="295"/>
      <c r="N49" s="278"/>
      <c r="O49" s="278"/>
      <c r="P49" s="278"/>
      <c r="Q49" s="279"/>
      <c r="R49" s="279"/>
      <c r="S49" s="279"/>
      <c r="T49" s="279"/>
      <c r="U49" s="280"/>
      <c r="V49" s="280"/>
      <c r="W49" s="280"/>
      <c r="X49" s="281"/>
      <c r="Y49" s="281"/>
      <c r="Z49" s="281"/>
      <c r="AA49" s="281"/>
      <c r="AB49" s="281"/>
      <c r="AC49" s="275"/>
      <c r="AD49" s="275"/>
      <c r="AE49" s="275"/>
      <c r="AF49" s="275"/>
      <c r="AG49" s="275"/>
      <c r="AH49" s="275"/>
      <c r="AI49" s="275"/>
      <c r="AJ49" s="275"/>
      <c r="AK49" s="275"/>
      <c r="AL49" s="275"/>
      <c r="AM49" s="275"/>
      <c r="AN49" s="275"/>
      <c r="AO49" s="275"/>
      <c r="AP49" s="275"/>
      <c r="AQ49" s="275"/>
      <c r="AR49" s="275"/>
      <c r="AS49" s="268"/>
      <c r="AT49" s="268"/>
      <c r="AU49" s="268"/>
      <c r="AV49" s="268"/>
      <c r="AW49" s="268"/>
      <c r="AX49" s="268"/>
      <c r="AY49" s="268"/>
      <c r="AZ49" s="268"/>
      <c r="BA49" s="268"/>
      <c r="BB49" s="268"/>
      <c r="BC49" s="268"/>
      <c r="BD49" s="268"/>
      <c r="BE49" s="268"/>
      <c r="BF49" s="268"/>
      <c r="BG49" s="268"/>
      <c r="BH49" s="268"/>
      <c r="BI49" s="268"/>
      <c r="BJ49" s="268"/>
      <c r="BK49" s="268"/>
      <c r="BL49" s="268"/>
      <c r="BM49" s="268"/>
      <c r="BN49" s="268"/>
      <c r="BO49" s="268"/>
      <c r="BP49" s="268"/>
      <c r="BQ49" s="268"/>
      <c r="BR49" s="268"/>
      <c r="BS49" s="268"/>
      <c r="BT49" s="268"/>
      <c r="BU49" s="268"/>
      <c r="BV49" s="268"/>
      <c r="BW49" s="268"/>
      <c r="BX49" s="268"/>
    </row>
    <row r="50" spans="1:76" ht="15" customHeight="1" x14ac:dyDescent="0.2">
      <c r="A50" s="270">
        <v>18</v>
      </c>
      <c r="B50" s="62" t="s">
        <v>88</v>
      </c>
      <c r="C50" s="239"/>
      <c r="D50" s="258"/>
      <c r="E50" s="79" t="s">
        <v>524</v>
      </c>
      <c r="F50" s="79" t="s">
        <v>293</v>
      </c>
      <c r="G50" s="79">
        <v>9845971792</v>
      </c>
      <c r="H50" s="285" t="s">
        <v>525</v>
      </c>
      <c r="I50" s="66" t="s">
        <v>526</v>
      </c>
      <c r="J50" s="66" t="s">
        <v>10</v>
      </c>
      <c r="K50" s="66">
        <v>9949497876</v>
      </c>
      <c r="L50" s="288" t="s">
        <v>527</v>
      </c>
      <c r="M50" s="82" t="s">
        <v>89</v>
      </c>
      <c r="N50" s="82" t="s">
        <v>10</v>
      </c>
      <c r="O50" s="82">
        <v>9886640333</v>
      </c>
      <c r="P50" s="283" t="s">
        <v>528</v>
      </c>
      <c r="Q50" s="87"/>
      <c r="R50" s="87"/>
      <c r="S50" s="87"/>
      <c r="T50" s="87"/>
      <c r="U50" s="73"/>
      <c r="V50" s="73"/>
      <c r="W50" s="73"/>
      <c r="X50" s="273"/>
      <c r="Y50" s="273"/>
      <c r="Z50" s="273"/>
      <c r="AA50" s="273"/>
      <c r="AB50" s="281"/>
      <c r="AC50" s="275"/>
      <c r="AD50" s="275"/>
      <c r="AE50" s="275"/>
      <c r="AF50" s="275"/>
      <c r="AG50" s="275"/>
      <c r="AH50" s="275"/>
      <c r="AI50" s="275"/>
      <c r="AJ50" s="275"/>
      <c r="AK50" s="275"/>
      <c r="AL50" s="275"/>
      <c r="AM50" s="275"/>
      <c r="AN50" s="275"/>
      <c r="AO50" s="275"/>
      <c r="AP50" s="275"/>
      <c r="AQ50" s="275"/>
      <c r="AR50" s="275"/>
      <c r="AS50" s="268"/>
      <c r="AT50" s="268"/>
      <c r="AU50" s="268"/>
      <c r="AV50" s="268"/>
      <c r="AW50" s="268"/>
      <c r="AX50" s="268"/>
      <c r="AY50" s="268"/>
      <c r="AZ50" s="268"/>
      <c r="BA50" s="268"/>
      <c r="BB50" s="268"/>
      <c r="BC50" s="268"/>
      <c r="BD50" s="268"/>
      <c r="BE50" s="268"/>
      <c r="BF50" s="268"/>
      <c r="BG50" s="268"/>
      <c r="BH50" s="268"/>
      <c r="BI50" s="268"/>
      <c r="BJ50" s="268"/>
      <c r="BK50" s="268"/>
      <c r="BL50" s="268"/>
      <c r="BM50" s="268"/>
      <c r="BN50" s="268"/>
      <c r="BO50" s="268"/>
      <c r="BP50" s="268"/>
      <c r="BQ50" s="268"/>
      <c r="BR50" s="268"/>
      <c r="BS50" s="268"/>
      <c r="BT50" s="268"/>
      <c r="BU50" s="268"/>
      <c r="BV50" s="268"/>
      <c r="BW50" s="268"/>
      <c r="BX50" s="268"/>
    </row>
    <row r="51" spans="1:76" customFormat="1" ht="15" hidden="1" customHeight="1" x14ac:dyDescent="0.2">
      <c r="A51" s="61">
        <v>55</v>
      </c>
      <c r="B51" s="233" t="s">
        <v>529</v>
      </c>
      <c r="C51" s="238" t="s">
        <v>629</v>
      </c>
      <c r="D51" s="63"/>
      <c r="E51" s="91" t="s">
        <v>530</v>
      </c>
      <c r="F51" s="91" t="s">
        <v>13</v>
      </c>
      <c r="G51" s="91">
        <v>8043233704</v>
      </c>
      <c r="H51" s="80" t="s">
        <v>531</v>
      </c>
      <c r="I51" s="92"/>
      <c r="J51" s="92"/>
      <c r="K51" s="92"/>
      <c r="L51" s="92"/>
      <c r="M51" s="93"/>
      <c r="N51" s="93"/>
      <c r="O51" s="93"/>
      <c r="P51" s="93"/>
      <c r="Q51" s="94"/>
      <c r="R51" s="94"/>
      <c r="S51" s="94"/>
      <c r="T51" s="94"/>
      <c r="U51" s="95"/>
      <c r="V51" s="95"/>
      <c r="W51" s="95"/>
      <c r="X51" s="96"/>
      <c r="Y51" s="96"/>
      <c r="Z51" s="96"/>
      <c r="AA51" s="96"/>
      <c r="AB51" s="96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</row>
    <row r="52" spans="1:76" customFormat="1" ht="15" hidden="1" customHeight="1" x14ac:dyDescent="0.2">
      <c r="A52" s="61">
        <v>56</v>
      </c>
      <c r="B52" s="249" t="s">
        <v>532</v>
      </c>
      <c r="C52" s="238" t="s">
        <v>629</v>
      </c>
      <c r="D52" s="63" t="s">
        <v>217</v>
      </c>
      <c r="E52" s="79" t="s">
        <v>533</v>
      </c>
      <c r="F52" s="79" t="s">
        <v>160</v>
      </c>
      <c r="G52" s="79">
        <v>9686862477</v>
      </c>
      <c r="H52" s="167" t="s">
        <v>534</v>
      </c>
      <c r="I52" s="99"/>
      <c r="J52" s="99"/>
      <c r="K52" s="123"/>
      <c r="L52" s="99"/>
      <c r="M52" s="82"/>
      <c r="N52" s="82"/>
      <c r="O52" s="82"/>
      <c r="P52" s="168"/>
      <c r="Q52" s="87"/>
      <c r="R52" s="87"/>
      <c r="S52" s="87"/>
      <c r="T52" s="87"/>
      <c r="U52" s="72"/>
      <c r="V52" s="72"/>
      <c r="W52" s="72"/>
      <c r="X52" s="75"/>
      <c r="Y52" s="75"/>
      <c r="Z52" s="75"/>
      <c r="AA52" s="75"/>
      <c r="AB52" s="75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8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</row>
    <row r="53" spans="1:76" customFormat="1" ht="15" hidden="1" customHeight="1" x14ac:dyDescent="0.2">
      <c r="A53" s="61">
        <v>57</v>
      </c>
      <c r="B53" s="233" t="s">
        <v>535</v>
      </c>
      <c r="C53" s="238" t="s">
        <v>629</v>
      </c>
      <c r="D53" s="63" t="s">
        <v>217</v>
      </c>
      <c r="E53" s="64" t="s">
        <v>536</v>
      </c>
      <c r="F53" s="64" t="s">
        <v>537</v>
      </c>
      <c r="G53" s="64">
        <v>9611000066</v>
      </c>
      <c r="H53" s="65" t="s">
        <v>538</v>
      </c>
      <c r="I53" s="66" t="s">
        <v>539</v>
      </c>
      <c r="J53" s="66">
        <v>9972133495</v>
      </c>
      <c r="K53" s="66">
        <v>9972133495</v>
      </c>
      <c r="L53" s="136" t="s">
        <v>540</v>
      </c>
      <c r="M53" s="68"/>
      <c r="N53" s="68"/>
      <c r="O53" s="68"/>
      <c r="P53" s="68"/>
      <c r="Q53" s="70"/>
      <c r="R53" s="70"/>
      <c r="S53" s="70"/>
      <c r="T53" s="70"/>
      <c r="U53" s="72"/>
      <c r="V53" s="72"/>
      <c r="W53" s="72"/>
      <c r="X53" s="75"/>
      <c r="Y53" s="75"/>
      <c r="Z53" s="75"/>
      <c r="AA53" s="75"/>
      <c r="AB53" s="75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8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</row>
    <row r="54" spans="1:76" customFormat="1" ht="15" hidden="1" customHeight="1" x14ac:dyDescent="0.2">
      <c r="A54" s="61">
        <v>58</v>
      </c>
      <c r="B54" s="233" t="s">
        <v>541</v>
      </c>
      <c r="C54" s="238" t="s">
        <v>629</v>
      </c>
      <c r="D54" s="63" t="s">
        <v>542</v>
      </c>
      <c r="E54" s="132" t="s">
        <v>543</v>
      </c>
      <c r="F54" s="132" t="s">
        <v>34</v>
      </c>
      <c r="G54" s="132">
        <v>8861615555</v>
      </c>
      <c r="H54" s="169" t="s">
        <v>544</v>
      </c>
      <c r="I54" s="147" t="s">
        <v>545</v>
      </c>
      <c r="J54" s="147" t="s">
        <v>546</v>
      </c>
      <c r="K54" s="147">
        <v>9535844995</v>
      </c>
      <c r="L54" s="170" t="s">
        <v>547</v>
      </c>
      <c r="M54" s="68" t="s">
        <v>548</v>
      </c>
      <c r="N54" s="68" t="s">
        <v>13</v>
      </c>
      <c r="O54" s="68">
        <v>9611878641</v>
      </c>
      <c r="P54" s="127" t="s">
        <v>549</v>
      </c>
      <c r="Q54" s="72"/>
      <c r="R54" s="72" t="s">
        <v>28</v>
      </c>
      <c r="S54" s="72">
        <v>9972133495</v>
      </c>
      <c r="T54" s="121" t="s">
        <v>540</v>
      </c>
      <c r="U54" s="75" t="s">
        <v>550</v>
      </c>
      <c r="V54" s="75">
        <v>8147719803</v>
      </c>
      <c r="W54" s="138" t="s">
        <v>552</v>
      </c>
      <c r="X54" s="171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</row>
    <row r="55" spans="1:76" ht="15" customHeight="1" x14ac:dyDescent="0.2">
      <c r="A55" s="270">
        <v>19</v>
      </c>
      <c r="B55" s="62" t="s">
        <v>553</v>
      </c>
      <c r="C55" s="239"/>
      <c r="D55" s="258"/>
      <c r="E55" s="79" t="s">
        <v>554</v>
      </c>
      <c r="F55" s="79" t="s">
        <v>555</v>
      </c>
      <c r="G55" s="79" t="s">
        <v>556</v>
      </c>
      <c r="H55" s="271" t="s">
        <v>557</v>
      </c>
      <c r="I55" s="66" t="s">
        <v>558</v>
      </c>
      <c r="J55" s="66" t="s">
        <v>28</v>
      </c>
      <c r="K55" s="66" t="s">
        <v>559</v>
      </c>
      <c r="L55" s="269" t="s">
        <v>1171</v>
      </c>
      <c r="M55" s="82"/>
      <c r="N55" s="82"/>
      <c r="O55" s="82"/>
      <c r="P55" s="81" t="s">
        <v>1170</v>
      </c>
      <c r="Q55" s="87"/>
      <c r="R55" s="87"/>
      <c r="S55" s="87"/>
      <c r="T55" s="87"/>
      <c r="U55" s="73"/>
      <c r="V55" s="73"/>
      <c r="W55" s="73"/>
      <c r="X55" s="273"/>
      <c r="Y55" s="273"/>
      <c r="Z55" s="273"/>
      <c r="AA55" s="273"/>
      <c r="AB55" s="281"/>
      <c r="AC55" s="275"/>
      <c r="AD55" s="275"/>
      <c r="AE55" s="275"/>
      <c r="AF55" s="275"/>
      <c r="AG55" s="275"/>
      <c r="AH55" s="275"/>
      <c r="AI55" s="275"/>
      <c r="AJ55" s="275"/>
      <c r="AK55" s="275"/>
      <c r="AL55" s="275"/>
      <c r="AM55" s="275"/>
      <c r="AN55" s="275"/>
      <c r="AO55" s="275"/>
      <c r="AP55" s="275"/>
      <c r="AQ55" s="275"/>
      <c r="AR55" s="275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8"/>
      <c r="BJ55" s="268"/>
      <c r="BK55" s="268"/>
      <c r="BL55" s="268"/>
      <c r="BM55" s="268"/>
      <c r="BN55" s="268"/>
      <c r="BO55" s="268"/>
      <c r="BP55" s="268"/>
      <c r="BQ55" s="268"/>
      <c r="BR55" s="268"/>
      <c r="BS55" s="268"/>
      <c r="BT55" s="268"/>
      <c r="BU55" s="268"/>
      <c r="BV55" s="268"/>
      <c r="BW55" s="268"/>
      <c r="BX55" s="268"/>
    </row>
    <row r="56" spans="1:76" ht="15" customHeight="1" x14ac:dyDescent="0.2">
      <c r="A56" s="270">
        <v>20</v>
      </c>
      <c r="B56" s="62" t="s">
        <v>560</v>
      </c>
      <c r="C56" s="239"/>
      <c r="D56" s="258"/>
      <c r="E56" s="276" t="s">
        <v>561</v>
      </c>
      <c r="F56" s="276" t="s">
        <v>10</v>
      </c>
      <c r="G56" s="276">
        <v>9986307314</v>
      </c>
      <c r="H56" s="271" t="s">
        <v>562</v>
      </c>
      <c r="I56" s="277" t="s">
        <v>563</v>
      </c>
      <c r="J56" s="277" t="s">
        <v>38</v>
      </c>
      <c r="K56" s="277">
        <v>9880105102</v>
      </c>
      <c r="L56" s="272" t="s">
        <v>564</v>
      </c>
      <c r="M56" s="278"/>
      <c r="N56" s="278"/>
      <c r="O56" s="278"/>
      <c r="P56" s="278"/>
      <c r="Q56" s="279"/>
      <c r="R56" s="279"/>
      <c r="S56" s="279"/>
      <c r="T56" s="279"/>
      <c r="U56" s="280"/>
      <c r="V56" s="280"/>
      <c r="W56" s="280"/>
      <c r="X56" s="281"/>
      <c r="Y56" s="281"/>
      <c r="Z56" s="281"/>
      <c r="AA56" s="281"/>
      <c r="AB56" s="281"/>
      <c r="AC56" s="275"/>
      <c r="AD56" s="275"/>
      <c r="AE56" s="275"/>
      <c r="AF56" s="275"/>
      <c r="AG56" s="275"/>
      <c r="AH56" s="275"/>
      <c r="AI56" s="275"/>
      <c r="AJ56" s="275"/>
      <c r="AK56" s="275"/>
      <c r="AL56" s="275"/>
      <c r="AM56" s="275"/>
      <c r="AN56" s="275"/>
      <c r="AO56" s="275"/>
      <c r="AP56" s="275"/>
      <c r="AQ56" s="275"/>
      <c r="AR56" s="275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268"/>
      <c r="BD56" s="268"/>
      <c r="BE56" s="268"/>
      <c r="BF56" s="268"/>
      <c r="BG56" s="268"/>
      <c r="BH56" s="268"/>
      <c r="BI56" s="268"/>
      <c r="BJ56" s="268"/>
      <c r="BK56" s="268"/>
      <c r="BL56" s="268"/>
      <c r="BM56" s="268"/>
      <c r="BN56" s="268"/>
      <c r="BO56" s="268"/>
      <c r="BP56" s="268"/>
      <c r="BQ56" s="268"/>
      <c r="BR56" s="268"/>
      <c r="BS56" s="268"/>
      <c r="BT56" s="268"/>
      <c r="BU56" s="268"/>
      <c r="BV56" s="268"/>
      <c r="BW56" s="268"/>
      <c r="BX56" s="268"/>
    </row>
    <row r="57" spans="1:76" ht="15" customHeight="1" x14ac:dyDescent="0.2">
      <c r="A57" s="296"/>
      <c r="B57" s="62" t="s">
        <v>565</v>
      </c>
      <c r="C57" s="239"/>
      <c r="D57" s="263"/>
      <c r="E57" s="275" t="s">
        <v>566</v>
      </c>
      <c r="F57" s="275" t="s">
        <v>10</v>
      </c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275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268"/>
      <c r="AT57" s="268"/>
      <c r="AU57" s="268"/>
      <c r="AV57" s="268"/>
      <c r="AW57" s="268"/>
      <c r="AX57" s="268"/>
      <c r="AY57" s="268"/>
      <c r="AZ57" s="268"/>
      <c r="BA57" s="268"/>
      <c r="BB57" s="268"/>
      <c r="BC57" s="268"/>
      <c r="BD57" s="268"/>
      <c r="BE57" s="268"/>
      <c r="BF57" s="268"/>
      <c r="BG57" s="268"/>
      <c r="BH57" s="268"/>
      <c r="BI57" s="268"/>
      <c r="BJ57" s="268"/>
      <c r="BK57" s="268"/>
      <c r="BL57" s="268"/>
      <c r="BM57" s="268"/>
      <c r="BN57" s="268"/>
      <c r="BO57" s="268"/>
      <c r="BP57" s="268"/>
      <c r="BQ57" s="268"/>
      <c r="BR57" s="268"/>
      <c r="BS57" s="268"/>
      <c r="BT57" s="268"/>
      <c r="BU57" s="268"/>
      <c r="BV57" s="268"/>
      <c r="BW57" s="268"/>
      <c r="BX57" s="268"/>
    </row>
    <row r="58" spans="1:76" ht="15" customHeight="1" x14ac:dyDescent="0.2">
      <c r="A58" s="297"/>
      <c r="B58" s="62" t="s">
        <v>567</v>
      </c>
      <c r="C58" s="239"/>
      <c r="D58" s="263"/>
      <c r="E58" s="275" t="s">
        <v>568</v>
      </c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275"/>
      <c r="AC58" s="268"/>
      <c r="AD58" s="268"/>
      <c r="AE58" s="268"/>
      <c r="AF58" s="268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8"/>
      <c r="AR58" s="268"/>
      <c r="AS58" s="268"/>
      <c r="AT58" s="268"/>
      <c r="AU58" s="268"/>
      <c r="AV58" s="268"/>
      <c r="AW58" s="268"/>
      <c r="AX58" s="268"/>
      <c r="AY58" s="268"/>
      <c r="AZ58" s="268"/>
      <c r="BA58" s="268"/>
      <c r="BB58" s="268"/>
      <c r="BC58" s="268"/>
      <c r="BD58" s="268"/>
      <c r="BE58" s="268"/>
      <c r="BF58" s="268"/>
      <c r="BG58" s="268"/>
      <c r="BH58" s="268"/>
      <c r="BI58" s="268"/>
      <c r="BJ58" s="268"/>
      <c r="BK58" s="268"/>
      <c r="BL58" s="268"/>
      <c r="BM58" s="268"/>
      <c r="BN58" s="268"/>
      <c r="BO58" s="268"/>
      <c r="BP58" s="268"/>
      <c r="BQ58" s="268"/>
      <c r="BR58" s="268"/>
      <c r="BS58" s="268"/>
      <c r="BT58" s="268"/>
      <c r="BU58" s="268"/>
      <c r="BV58" s="268"/>
      <c r="BW58" s="268"/>
      <c r="BX58" s="268"/>
    </row>
    <row r="59" spans="1:76" ht="15" customHeight="1" x14ac:dyDescent="0.2">
      <c r="A59" s="296"/>
      <c r="B59" s="232" t="s">
        <v>569</v>
      </c>
      <c r="C59" s="239"/>
      <c r="D59" s="264" t="s">
        <v>625</v>
      </c>
      <c r="E59" s="202" t="s">
        <v>570</v>
      </c>
      <c r="F59" s="202" t="s">
        <v>571</v>
      </c>
      <c r="G59" s="298"/>
      <c r="H59" s="299" t="s">
        <v>572</v>
      </c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75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68"/>
      <c r="AR59" s="268"/>
      <c r="AS59" s="268"/>
      <c r="AT59" s="268"/>
      <c r="AU59" s="268"/>
      <c r="AV59" s="268"/>
      <c r="AW59" s="268"/>
      <c r="AX59" s="268"/>
      <c r="AY59" s="268"/>
      <c r="AZ59" s="268"/>
      <c r="BA59" s="268"/>
      <c r="BB59" s="268"/>
      <c r="BC59" s="268"/>
      <c r="BD59" s="268"/>
      <c r="BE59" s="268"/>
      <c r="BF59" s="268"/>
      <c r="BG59" s="268"/>
      <c r="BH59" s="268"/>
      <c r="BI59" s="268"/>
      <c r="BJ59" s="268"/>
      <c r="BK59" s="268"/>
      <c r="BL59" s="268"/>
      <c r="BM59" s="268"/>
      <c r="BN59" s="268"/>
      <c r="BO59" s="268"/>
      <c r="BP59" s="268"/>
      <c r="BQ59" s="268"/>
      <c r="BR59" s="268"/>
      <c r="BS59" s="268"/>
      <c r="BT59" s="268"/>
      <c r="BU59" s="268"/>
      <c r="BV59" s="268"/>
      <c r="BW59" s="268"/>
      <c r="BX59" s="268"/>
    </row>
    <row r="60" spans="1:76" customFormat="1" ht="15" hidden="1" customHeight="1" x14ac:dyDescent="0.2">
      <c r="A60" s="265">
        <v>64</v>
      </c>
      <c r="B60" s="252" t="s">
        <v>573</v>
      </c>
      <c r="C60" s="238" t="s">
        <v>629</v>
      </c>
      <c r="D60" s="230" t="s">
        <v>625</v>
      </c>
      <c r="E60" s="177" t="s">
        <v>574</v>
      </c>
      <c r="F60" s="79" t="s">
        <v>575</v>
      </c>
      <c r="G60" s="177" t="s">
        <v>576</v>
      </c>
      <c r="H60" s="80" t="s">
        <v>577</v>
      </c>
      <c r="I60" s="178" t="s">
        <v>578</v>
      </c>
      <c r="J60" s="178" t="s">
        <v>579</v>
      </c>
      <c r="K60" s="178">
        <v>9900023579</v>
      </c>
      <c r="L60" s="179" t="s">
        <v>580</v>
      </c>
      <c r="M60" s="82" t="s">
        <v>581</v>
      </c>
      <c r="N60" s="180" t="s">
        <v>582</v>
      </c>
      <c r="O60" s="180">
        <v>7259281122</v>
      </c>
      <c r="P60" s="181" t="s">
        <v>583</v>
      </c>
      <c r="Q60" s="182"/>
      <c r="R60" s="182"/>
      <c r="S60" s="182"/>
      <c r="T60" s="182"/>
      <c r="U60" s="183"/>
      <c r="V60" s="183"/>
      <c r="W60" s="183"/>
      <c r="X60" s="184"/>
      <c r="Y60" s="184"/>
      <c r="Z60" s="184"/>
      <c r="AA60" s="184"/>
      <c r="AB60" s="78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</row>
    <row r="61" spans="1:76" customFormat="1" ht="15" hidden="1" customHeight="1" x14ac:dyDescent="0.2">
      <c r="A61" s="229">
        <v>65</v>
      </c>
      <c r="B61" s="253" t="s">
        <v>80</v>
      </c>
      <c r="C61" s="238" t="s">
        <v>629</v>
      </c>
      <c r="D61" s="185" t="s">
        <v>217</v>
      </c>
      <c r="E61" s="186" t="s">
        <v>81</v>
      </c>
      <c r="F61" s="186" t="s">
        <v>82</v>
      </c>
      <c r="G61" s="187">
        <v>9980044525</v>
      </c>
      <c r="H61" s="188" t="s">
        <v>584</v>
      </c>
      <c r="I61" s="189" t="s">
        <v>585</v>
      </c>
      <c r="J61" s="189" t="s">
        <v>505</v>
      </c>
      <c r="K61" s="189">
        <v>8042182194</v>
      </c>
      <c r="L61" s="189" t="s">
        <v>586</v>
      </c>
      <c r="M61" s="190" t="s">
        <v>587</v>
      </c>
      <c r="N61" s="190" t="s">
        <v>588</v>
      </c>
      <c r="O61" s="190">
        <v>9741985373</v>
      </c>
      <c r="P61" s="190"/>
      <c r="Q61" s="191" t="s">
        <v>589</v>
      </c>
      <c r="R61" s="191" t="s">
        <v>28</v>
      </c>
      <c r="S61" s="191">
        <v>9880599314</v>
      </c>
      <c r="T61" s="191"/>
      <c r="U61" s="192"/>
      <c r="V61" s="192"/>
      <c r="W61" s="192"/>
      <c r="X61" s="193"/>
      <c r="Y61" s="193"/>
      <c r="Z61" s="193"/>
      <c r="AA61" s="193"/>
      <c r="AB61" s="78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</row>
    <row r="62" spans="1:76" customFormat="1" ht="15" hidden="1" customHeight="1" x14ac:dyDescent="0.2">
      <c r="A62" s="265">
        <v>66</v>
      </c>
      <c r="B62" s="246" t="s">
        <v>24</v>
      </c>
      <c r="C62" s="247" t="s">
        <v>629</v>
      </c>
      <c r="D62" s="194" t="s">
        <v>217</v>
      </c>
      <c r="E62" s="195" t="s">
        <v>25</v>
      </c>
      <c r="F62" s="195" t="s">
        <v>10</v>
      </c>
      <c r="G62" s="132">
        <v>9632005724</v>
      </c>
      <c r="H62" s="196" t="s">
        <v>590</v>
      </c>
      <c r="I62" s="197"/>
      <c r="J62" s="197"/>
      <c r="K62" s="198"/>
      <c r="L62" s="199"/>
      <c r="M62" s="200"/>
      <c r="N62" s="200"/>
      <c r="O62" s="200"/>
      <c r="P62" s="200"/>
      <c r="Q62" s="201"/>
      <c r="R62" s="201"/>
      <c r="S62" s="201"/>
      <c r="T62" s="201"/>
      <c r="U62" s="173"/>
      <c r="V62" s="173"/>
      <c r="W62" s="173"/>
      <c r="X62" s="173"/>
      <c r="Y62" s="231"/>
      <c r="Z62" s="231"/>
      <c r="AA62" s="231"/>
      <c r="AB62" s="78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</row>
    <row r="63" spans="1:76" ht="15" customHeight="1" x14ac:dyDescent="0.2">
      <c r="A63" s="296"/>
      <c r="B63" s="232" t="s">
        <v>76</v>
      </c>
      <c r="C63" s="239"/>
      <c r="D63" s="263"/>
      <c r="E63" s="202" t="s">
        <v>591</v>
      </c>
      <c r="F63" s="202" t="s">
        <v>136</v>
      </c>
      <c r="G63" s="202">
        <v>9980166408</v>
      </c>
      <c r="H63" s="300" t="s">
        <v>592</v>
      </c>
      <c r="I63" s="204" t="s">
        <v>77</v>
      </c>
      <c r="J63" s="204" t="s">
        <v>13</v>
      </c>
      <c r="K63" s="204">
        <v>9880044536</v>
      </c>
      <c r="L63" s="223" t="s">
        <v>593</v>
      </c>
      <c r="M63" s="301" t="s">
        <v>594</v>
      </c>
      <c r="N63" s="301" t="s">
        <v>28</v>
      </c>
      <c r="O63" s="301">
        <v>9945233661</v>
      </c>
      <c r="P63" s="302" t="s">
        <v>593</v>
      </c>
      <c r="Q63" s="303" t="s">
        <v>595</v>
      </c>
      <c r="R63" s="303" t="s">
        <v>596</v>
      </c>
      <c r="S63" s="303" t="s">
        <v>597</v>
      </c>
      <c r="T63" s="304" t="s">
        <v>598</v>
      </c>
      <c r="U63" s="305"/>
      <c r="V63" s="305"/>
      <c r="W63" s="305"/>
      <c r="X63" s="306"/>
      <c r="Y63" s="306"/>
      <c r="Z63" s="306"/>
      <c r="AA63" s="306"/>
      <c r="AB63" s="307"/>
      <c r="AC63" s="268"/>
      <c r="AD63" s="268"/>
      <c r="AE63" s="268"/>
      <c r="AF63" s="268"/>
      <c r="AG63" s="268"/>
      <c r="AH63" s="268"/>
      <c r="AI63" s="268"/>
      <c r="AJ63" s="268"/>
      <c r="AK63" s="268"/>
      <c r="AL63" s="268"/>
      <c r="AM63" s="268"/>
      <c r="AN63" s="268"/>
      <c r="AO63" s="268"/>
      <c r="AP63" s="268"/>
      <c r="AQ63" s="268"/>
      <c r="AR63" s="268"/>
      <c r="AS63" s="268"/>
      <c r="AT63" s="268"/>
      <c r="AU63" s="268"/>
      <c r="AV63" s="268"/>
      <c r="AW63" s="268"/>
      <c r="AX63" s="268"/>
      <c r="AY63" s="268"/>
      <c r="AZ63" s="268"/>
      <c r="BA63" s="268"/>
      <c r="BB63" s="268"/>
      <c r="BC63" s="268"/>
      <c r="BD63" s="268"/>
      <c r="BE63" s="268"/>
      <c r="BF63" s="268"/>
      <c r="BG63" s="268"/>
      <c r="BH63" s="268"/>
      <c r="BI63" s="268"/>
      <c r="BJ63" s="268"/>
      <c r="BK63" s="268"/>
      <c r="BL63" s="268"/>
      <c r="BM63" s="268"/>
      <c r="BN63" s="268"/>
      <c r="BO63" s="268"/>
      <c r="BP63" s="268"/>
      <c r="BQ63" s="268"/>
      <c r="BR63" s="268"/>
      <c r="BS63" s="268"/>
      <c r="BT63" s="268"/>
      <c r="BU63" s="268"/>
      <c r="BV63" s="268"/>
      <c r="BW63" s="268"/>
      <c r="BX63" s="268"/>
    </row>
    <row r="64" spans="1:76" ht="15" customHeight="1" x14ac:dyDescent="0.2">
      <c r="A64" s="297"/>
      <c r="B64" s="84" t="s">
        <v>78</v>
      </c>
      <c r="C64" s="241"/>
      <c r="D64" s="263"/>
      <c r="E64" s="177" t="s">
        <v>599</v>
      </c>
      <c r="F64" s="177" t="s">
        <v>600</v>
      </c>
      <c r="G64" s="79">
        <v>9845042229</v>
      </c>
      <c r="H64" s="276"/>
      <c r="I64" s="178" t="s">
        <v>79</v>
      </c>
      <c r="J64" s="308" t="s">
        <v>10</v>
      </c>
      <c r="K64" s="178">
        <v>9916141345</v>
      </c>
      <c r="L64" s="309" t="s">
        <v>601</v>
      </c>
      <c r="M64" s="82" t="s">
        <v>602</v>
      </c>
      <c r="N64" s="180" t="s">
        <v>221</v>
      </c>
      <c r="O64" s="180"/>
      <c r="P64" s="180"/>
      <c r="Q64" s="182"/>
      <c r="R64" s="182"/>
      <c r="S64" s="182"/>
      <c r="T64" s="182"/>
      <c r="U64" s="310"/>
      <c r="V64" s="310"/>
      <c r="W64" s="310"/>
      <c r="X64" s="307"/>
      <c r="Y64" s="307"/>
      <c r="Z64" s="307"/>
      <c r="AA64" s="307"/>
      <c r="AB64" s="311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  <c r="AM64" s="268"/>
      <c r="AN64" s="268"/>
      <c r="AO64" s="268"/>
      <c r="AP64" s="268"/>
      <c r="AQ64" s="268"/>
      <c r="AR64" s="268"/>
      <c r="AS64" s="268"/>
      <c r="AT64" s="268"/>
      <c r="AU64" s="268"/>
      <c r="AV64" s="268"/>
      <c r="AW64" s="268"/>
      <c r="AX64" s="268"/>
      <c r="AY64" s="268"/>
      <c r="AZ64" s="268"/>
      <c r="BA64" s="268"/>
      <c r="BB64" s="268"/>
      <c r="BC64" s="268"/>
      <c r="BD64" s="268"/>
      <c r="BE64" s="268"/>
      <c r="BF64" s="268"/>
      <c r="BG64" s="268"/>
      <c r="BH64" s="268"/>
      <c r="BI64" s="268"/>
      <c r="BJ64" s="268"/>
      <c r="BK64" s="268"/>
      <c r="BL64" s="268"/>
      <c r="BM64" s="268"/>
      <c r="BN64" s="268"/>
      <c r="BO64" s="268"/>
      <c r="BP64" s="268"/>
      <c r="BQ64" s="268"/>
      <c r="BR64" s="268"/>
      <c r="BS64" s="268"/>
      <c r="BT64" s="268"/>
      <c r="BU64" s="268"/>
      <c r="BV64" s="268"/>
      <c r="BW64" s="268"/>
      <c r="BX64" s="268"/>
    </row>
    <row r="65" spans="1:76" customFormat="1" ht="15" hidden="1" customHeight="1" x14ac:dyDescent="0.2">
      <c r="A65" s="229">
        <v>69</v>
      </c>
      <c r="B65" s="254" t="s">
        <v>83</v>
      </c>
      <c r="C65" s="238" t="s">
        <v>629</v>
      </c>
      <c r="D65" s="78"/>
      <c r="E65" s="174" t="s">
        <v>84</v>
      </c>
      <c r="F65" s="174" t="s">
        <v>85</v>
      </c>
      <c r="G65" s="216">
        <v>9845150181</v>
      </c>
      <c r="H65" s="217" t="s">
        <v>603</v>
      </c>
      <c r="I65" s="204" t="s">
        <v>587</v>
      </c>
      <c r="J65" s="204" t="s">
        <v>604</v>
      </c>
      <c r="K65" s="204">
        <v>9741985373</v>
      </c>
      <c r="L65" s="218" t="s">
        <v>605</v>
      </c>
      <c r="M65" s="219" t="s">
        <v>606</v>
      </c>
      <c r="N65" s="219" t="s">
        <v>13</v>
      </c>
      <c r="O65" s="219">
        <v>9742111020</v>
      </c>
      <c r="P65" s="220" t="s">
        <v>607</v>
      </c>
      <c r="Q65" s="221" t="s">
        <v>608</v>
      </c>
      <c r="R65" s="221" t="s">
        <v>136</v>
      </c>
      <c r="S65" s="221">
        <v>8861486444</v>
      </c>
      <c r="T65" s="222" t="s">
        <v>609</v>
      </c>
      <c r="U65" s="214" t="s">
        <v>610</v>
      </c>
      <c r="V65" s="214">
        <v>9886623421</v>
      </c>
      <c r="W65" s="214"/>
      <c r="X65" s="215"/>
      <c r="Y65" s="215"/>
      <c r="Z65" s="215"/>
      <c r="AA65" s="215"/>
      <c r="AB65" s="212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</row>
    <row r="66" spans="1:76" ht="15" customHeight="1" x14ac:dyDescent="0.2">
      <c r="A66" s="297"/>
      <c r="B66" s="232" t="s">
        <v>86</v>
      </c>
      <c r="C66" s="239"/>
      <c r="D66" s="263"/>
      <c r="E66" s="202" t="s">
        <v>87</v>
      </c>
      <c r="F66" s="202" t="s">
        <v>31</v>
      </c>
      <c r="G66" s="202">
        <v>9902948096</v>
      </c>
      <c r="H66" s="312" t="s">
        <v>611</v>
      </c>
      <c r="I66" s="204" t="s">
        <v>612</v>
      </c>
      <c r="J66" s="204" t="s">
        <v>28</v>
      </c>
      <c r="K66" s="204">
        <v>9739137153</v>
      </c>
      <c r="L66" s="223" t="s">
        <v>613</v>
      </c>
      <c r="M66" s="313"/>
      <c r="N66" s="313"/>
      <c r="O66" s="313"/>
      <c r="P66" s="313"/>
      <c r="Q66" s="303" t="s">
        <v>614</v>
      </c>
      <c r="R66" s="303" t="s">
        <v>28</v>
      </c>
      <c r="S66" s="224" t="s">
        <v>615</v>
      </c>
      <c r="T66" s="304" t="s">
        <v>616</v>
      </c>
      <c r="U66" s="305"/>
      <c r="V66" s="305"/>
      <c r="W66" s="305"/>
      <c r="X66" s="306"/>
      <c r="Y66" s="306"/>
      <c r="Z66" s="306"/>
      <c r="AA66" s="306"/>
      <c r="AB66" s="311"/>
      <c r="AC66" s="268"/>
      <c r="AD66" s="268"/>
      <c r="AE66" s="268"/>
      <c r="AF66" s="268"/>
      <c r="AG66" s="268"/>
      <c r="AH66" s="268"/>
      <c r="AI66" s="268"/>
      <c r="AJ66" s="268"/>
      <c r="AK66" s="268"/>
      <c r="AL66" s="268"/>
      <c r="AM66" s="268"/>
      <c r="AN66" s="268"/>
      <c r="AO66" s="268"/>
      <c r="AP66" s="268"/>
      <c r="AQ66" s="268"/>
      <c r="AR66" s="268"/>
      <c r="AS66" s="268"/>
      <c r="AT66" s="268"/>
      <c r="AU66" s="268"/>
      <c r="AV66" s="268"/>
      <c r="AW66" s="268"/>
      <c r="AX66" s="268"/>
      <c r="AY66" s="268"/>
      <c r="AZ66" s="268"/>
      <c r="BA66" s="268"/>
      <c r="BB66" s="268"/>
      <c r="BC66" s="268"/>
      <c r="BD66" s="268"/>
      <c r="BE66" s="268"/>
      <c r="BF66" s="268"/>
      <c r="BG66" s="268"/>
      <c r="BH66" s="268"/>
      <c r="BI66" s="268"/>
      <c r="BJ66" s="268"/>
      <c r="BK66" s="268"/>
      <c r="BL66" s="268"/>
      <c r="BM66" s="268"/>
      <c r="BN66" s="268"/>
      <c r="BO66" s="268"/>
      <c r="BP66" s="268"/>
      <c r="BQ66" s="268"/>
      <c r="BR66" s="268"/>
      <c r="BS66" s="268"/>
      <c r="BT66" s="268"/>
      <c r="BU66" s="268"/>
      <c r="BV66" s="268"/>
      <c r="BW66" s="268"/>
      <c r="BX66" s="268"/>
    </row>
    <row r="67" spans="1:76" customFormat="1" ht="15" hidden="1" customHeight="1" x14ac:dyDescent="0.2">
      <c r="A67" s="229">
        <v>71</v>
      </c>
      <c r="B67" s="233" t="s">
        <v>94</v>
      </c>
      <c r="C67" s="238" t="s">
        <v>629</v>
      </c>
      <c r="D67" s="78"/>
      <c r="E67" s="64" t="s">
        <v>617</v>
      </c>
      <c r="F67" s="64" t="s">
        <v>618</v>
      </c>
      <c r="G67" s="64">
        <v>9611000066</v>
      </c>
      <c r="H67" s="225" t="s">
        <v>619</v>
      </c>
      <c r="I67" s="226" t="s">
        <v>620</v>
      </c>
      <c r="J67" s="226">
        <v>9902021573</v>
      </c>
      <c r="K67" s="227" t="s">
        <v>621</v>
      </c>
      <c r="L67" s="205"/>
      <c r="M67" s="207" t="s">
        <v>622</v>
      </c>
      <c r="N67" s="207" t="s">
        <v>623</v>
      </c>
      <c r="O67" s="207">
        <v>9663599711</v>
      </c>
      <c r="P67" s="228" t="s">
        <v>624</v>
      </c>
      <c r="Q67" s="209"/>
      <c r="R67" s="209"/>
      <c r="S67" s="209"/>
      <c r="T67" s="209"/>
      <c r="U67" s="211"/>
      <c r="V67" s="211"/>
      <c r="W67" s="211"/>
      <c r="X67" s="212"/>
      <c r="Y67" s="212"/>
      <c r="Z67" s="212"/>
      <c r="AA67" s="212"/>
      <c r="AB67" s="215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</row>
    <row r="68" spans="1:76" s="319" customFormat="1" ht="15" customHeight="1" x14ac:dyDescent="0.2">
      <c r="A68" s="62"/>
      <c r="B68" s="314" t="s">
        <v>633</v>
      </c>
      <c r="C68" s="314"/>
      <c r="D68"/>
      <c r="E68" s="319" t="s">
        <v>634</v>
      </c>
      <c r="F68" s="319" t="s">
        <v>635</v>
      </c>
      <c r="G68" s="319" t="s">
        <v>636</v>
      </c>
      <c r="H68" s="319" t="s">
        <v>637</v>
      </c>
    </row>
    <row r="69" spans="1:76" ht="15" customHeight="1" x14ac:dyDescent="0.2">
      <c r="A69" s="297"/>
      <c r="B69" s="315" t="s">
        <v>638</v>
      </c>
      <c r="C69" s="315"/>
      <c r="E69" s="269" t="s">
        <v>639</v>
      </c>
      <c r="F69" s="269">
        <v>8040005555</v>
      </c>
      <c r="G69" s="269" t="s">
        <v>640</v>
      </c>
      <c r="H69" s="269" t="s">
        <v>641</v>
      </c>
    </row>
    <row r="70" spans="1:76" ht="15" customHeight="1" x14ac:dyDescent="0.2">
      <c r="A70" s="62"/>
      <c r="B70" s="315" t="s">
        <v>642</v>
      </c>
      <c r="C70" s="315"/>
      <c r="E70" s="269" t="s">
        <v>643</v>
      </c>
      <c r="F70" s="269">
        <v>41127990</v>
      </c>
      <c r="G70" s="269" t="s">
        <v>644</v>
      </c>
      <c r="H70" s="269" t="s">
        <v>645</v>
      </c>
    </row>
    <row r="71" spans="1:76" ht="15" customHeight="1" x14ac:dyDescent="0.2">
      <c r="A71" s="297"/>
      <c r="B71" s="314" t="s">
        <v>646</v>
      </c>
      <c r="C71" s="315"/>
      <c r="E71" s="269" t="s">
        <v>647</v>
      </c>
      <c r="F71" s="269">
        <v>9538766796</v>
      </c>
      <c r="G71" s="269" t="s">
        <v>648</v>
      </c>
      <c r="H71" s="269" t="s">
        <v>649</v>
      </c>
    </row>
    <row r="72" spans="1:76" ht="15" customHeight="1" x14ac:dyDescent="0.2">
      <c r="A72" s="62"/>
      <c r="B72" s="315" t="s">
        <v>650</v>
      </c>
      <c r="C72" s="315"/>
      <c r="E72" s="269" t="s">
        <v>651</v>
      </c>
      <c r="F72" s="269">
        <v>8039805600</v>
      </c>
      <c r="G72" s="269" t="s">
        <v>652</v>
      </c>
      <c r="H72" s="269" t="s">
        <v>653</v>
      </c>
    </row>
    <row r="73" spans="1:76" ht="15" customHeight="1" x14ac:dyDescent="0.2">
      <c r="A73" s="297"/>
      <c r="B73" s="315" t="s">
        <v>654</v>
      </c>
      <c r="C73" s="315"/>
      <c r="E73" s="269" t="s">
        <v>655</v>
      </c>
      <c r="F73" s="269">
        <v>39808000</v>
      </c>
      <c r="G73" s="269" t="s">
        <v>656</v>
      </c>
      <c r="H73" s="269" t="s">
        <v>657</v>
      </c>
    </row>
    <row r="74" spans="1:76" s="319" customFormat="1" ht="15" customHeight="1" x14ac:dyDescent="0.2">
      <c r="A74" s="62"/>
      <c r="B74" s="314" t="s">
        <v>658</v>
      </c>
      <c r="C74" s="314"/>
      <c r="D74"/>
      <c r="E74" s="319" t="s">
        <v>659</v>
      </c>
      <c r="F74" s="319">
        <v>9880094067</v>
      </c>
      <c r="G74" s="319" t="s">
        <v>660</v>
      </c>
      <c r="H74" s="319" t="s">
        <v>661</v>
      </c>
    </row>
    <row r="75" spans="1:76" ht="15" customHeight="1" x14ac:dyDescent="0.2">
      <c r="A75" s="62"/>
      <c r="B75" s="315" t="s">
        <v>666</v>
      </c>
      <c r="C75" s="315"/>
      <c r="E75" s="269" t="s">
        <v>667</v>
      </c>
      <c r="F75" s="269">
        <v>9972022552</v>
      </c>
      <c r="G75" s="269" t="s">
        <v>668</v>
      </c>
      <c r="H75" s="269" t="s">
        <v>669</v>
      </c>
    </row>
    <row r="76" spans="1:76" ht="15" customHeight="1" x14ac:dyDescent="0.2">
      <c r="A76" s="62"/>
      <c r="B76" s="315" t="s">
        <v>674</v>
      </c>
      <c r="C76" s="315"/>
      <c r="E76" s="269" t="s">
        <v>675</v>
      </c>
      <c r="F76" s="269">
        <v>23551510</v>
      </c>
      <c r="G76" s="269" t="s">
        <v>676</v>
      </c>
      <c r="H76" s="269" t="s">
        <v>677</v>
      </c>
    </row>
    <row r="77" spans="1:76" ht="15" customHeight="1" x14ac:dyDescent="0.2">
      <c r="A77" s="62"/>
      <c r="B77" s="315" t="s">
        <v>682</v>
      </c>
      <c r="C77" s="315"/>
      <c r="E77" s="269" t="s">
        <v>683</v>
      </c>
      <c r="F77" s="269" t="s">
        <v>684</v>
      </c>
      <c r="G77" s="269" t="s">
        <v>685</v>
      </c>
      <c r="H77" s="269" t="s">
        <v>686</v>
      </c>
    </row>
    <row r="78" spans="1:76" ht="15" customHeight="1" x14ac:dyDescent="0.2">
      <c r="A78" s="297"/>
      <c r="B78" s="315" t="s">
        <v>687</v>
      </c>
      <c r="C78" s="315"/>
      <c r="E78" s="269" t="s">
        <v>688</v>
      </c>
      <c r="F78" s="269">
        <v>8040576666</v>
      </c>
      <c r="G78" s="269" t="s">
        <v>689</v>
      </c>
      <c r="H78" s="269" t="s">
        <v>690</v>
      </c>
    </row>
    <row r="79" spans="1:76" ht="15" customHeight="1" x14ac:dyDescent="0.2">
      <c r="A79" s="62"/>
      <c r="B79" s="315" t="s">
        <v>691</v>
      </c>
      <c r="C79" s="315"/>
      <c r="E79" s="269" t="s">
        <v>692</v>
      </c>
      <c r="F79" s="269">
        <v>99450890274</v>
      </c>
      <c r="G79" s="269" t="s">
        <v>693</v>
      </c>
      <c r="H79" s="269" t="s">
        <v>694</v>
      </c>
    </row>
    <row r="80" spans="1:76" ht="15" customHeight="1" x14ac:dyDescent="0.2">
      <c r="A80" s="297"/>
      <c r="B80" s="315" t="s">
        <v>695</v>
      </c>
      <c r="C80" s="315"/>
      <c r="E80" s="269" t="s">
        <v>696</v>
      </c>
      <c r="F80" s="269">
        <v>9901899900</v>
      </c>
      <c r="H80" s="269" t="s">
        <v>697</v>
      </c>
    </row>
    <row r="81" spans="1:10" ht="15" customHeight="1" x14ac:dyDescent="0.2">
      <c r="A81" s="297"/>
      <c r="B81" s="315" t="s">
        <v>702</v>
      </c>
      <c r="C81" s="315"/>
      <c r="E81" s="269" t="s">
        <v>703</v>
      </c>
      <c r="F81" s="269">
        <v>66731300</v>
      </c>
      <c r="G81" s="269" t="s">
        <v>704</v>
      </c>
      <c r="H81" s="269" t="s">
        <v>705</v>
      </c>
    </row>
    <row r="82" spans="1:10" ht="15" customHeight="1" x14ac:dyDescent="0.2">
      <c r="A82" s="62"/>
      <c r="B82" s="315" t="s">
        <v>706</v>
      </c>
      <c r="C82" s="315"/>
      <c r="E82" s="269" t="s">
        <v>707</v>
      </c>
      <c r="F82" s="269">
        <v>8066731300</v>
      </c>
      <c r="G82" s="269" t="s">
        <v>708</v>
      </c>
      <c r="H82" s="269" t="s">
        <v>709</v>
      </c>
      <c r="J82" s="269" t="s">
        <v>1370</v>
      </c>
    </row>
    <row r="83" spans="1:10" ht="15" customHeight="1" x14ac:dyDescent="0.2">
      <c r="A83" s="297"/>
      <c r="B83" s="315" t="s">
        <v>710</v>
      </c>
      <c r="C83" s="315"/>
      <c r="E83" s="269" t="s">
        <v>711</v>
      </c>
      <c r="F83" s="269">
        <v>9740979999</v>
      </c>
      <c r="G83" s="269" t="s">
        <v>712</v>
      </c>
      <c r="H83" s="269" t="s">
        <v>713</v>
      </c>
    </row>
    <row r="84" spans="1:10" ht="15" customHeight="1" x14ac:dyDescent="0.2">
      <c r="A84" s="62"/>
      <c r="B84" s="315" t="s">
        <v>714</v>
      </c>
      <c r="C84" s="315"/>
      <c r="E84" s="269" t="s">
        <v>715</v>
      </c>
      <c r="F84" s="269" t="s">
        <v>716</v>
      </c>
      <c r="G84" s="269" t="s">
        <v>717</v>
      </c>
      <c r="H84" s="269" t="s">
        <v>718</v>
      </c>
    </row>
    <row r="85" spans="1:10" ht="15" customHeight="1" x14ac:dyDescent="0.2">
      <c r="A85" s="62"/>
      <c r="B85" s="315" t="s">
        <v>723</v>
      </c>
      <c r="C85" s="315"/>
      <c r="E85" s="269" t="s">
        <v>724</v>
      </c>
      <c r="F85" s="269">
        <v>9008979797</v>
      </c>
      <c r="G85" s="269" t="s">
        <v>725</v>
      </c>
      <c r="H85" s="269" t="s">
        <v>726</v>
      </c>
    </row>
    <row r="86" spans="1:10" ht="15" customHeight="1" x14ac:dyDescent="0.2">
      <c r="A86" s="297"/>
      <c r="B86" s="315" t="s">
        <v>727</v>
      </c>
      <c r="C86" s="315"/>
      <c r="E86" s="269" t="s">
        <v>728</v>
      </c>
      <c r="F86" s="269" t="s">
        <v>729</v>
      </c>
      <c r="G86" s="269" t="s">
        <v>730</v>
      </c>
      <c r="H86" s="269" t="s">
        <v>731</v>
      </c>
    </row>
    <row r="87" spans="1:10" ht="15" customHeight="1" x14ac:dyDescent="0.2">
      <c r="A87" s="62"/>
      <c r="B87" s="315" t="s">
        <v>732</v>
      </c>
      <c r="C87" s="315"/>
      <c r="E87" s="269" t="s">
        <v>733</v>
      </c>
      <c r="F87" s="269">
        <v>8040130115</v>
      </c>
      <c r="G87" s="269" t="s">
        <v>734</v>
      </c>
      <c r="H87" s="269" t="s">
        <v>735</v>
      </c>
    </row>
    <row r="88" spans="1:10" ht="15" customHeight="1" x14ac:dyDescent="0.2">
      <c r="A88" s="297"/>
      <c r="B88" s="315" t="s">
        <v>736</v>
      </c>
      <c r="C88" s="315"/>
      <c r="E88" s="269" t="s">
        <v>736</v>
      </c>
      <c r="F88" s="269">
        <v>39499999</v>
      </c>
      <c r="G88" s="269" t="s">
        <v>737</v>
      </c>
      <c r="H88" s="269" t="s">
        <v>738</v>
      </c>
    </row>
    <row r="89" spans="1:10" s="319" customFormat="1" ht="15" customHeight="1" x14ac:dyDescent="0.2">
      <c r="A89" s="62"/>
      <c r="B89" s="314" t="s">
        <v>739</v>
      </c>
      <c r="C89" s="314"/>
      <c r="D89"/>
      <c r="E89" s="319" t="s">
        <v>740</v>
      </c>
      <c r="F89" s="319">
        <v>8066282559</v>
      </c>
      <c r="G89" s="319" t="s">
        <v>741</v>
      </c>
      <c r="H89" s="319" t="s">
        <v>742</v>
      </c>
    </row>
    <row r="90" spans="1:10" ht="15" customHeight="1" x14ac:dyDescent="0.2">
      <c r="A90" s="297"/>
      <c r="B90" s="315" t="s">
        <v>743</v>
      </c>
      <c r="C90" s="315"/>
      <c r="E90" s="269" t="s">
        <v>27</v>
      </c>
      <c r="F90" s="269">
        <v>918025185218</v>
      </c>
      <c r="G90" s="269" t="s">
        <v>744</v>
      </c>
      <c r="H90" s="269" t="s">
        <v>745</v>
      </c>
    </row>
    <row r="91" spans="1:10" ht="15" customHeight="1" x14ac:dyDescent="0.2">
      <c r="A91" s="62"/>
      <c r="B91" s="315" t="s">
        <v>746</v>
      </c>
      <c r="C91" s="315"/>
      <c r="E91" s="269" t="s">
        <v>747</v>
      </c>
      <c r="F91" s="269">
        <v>8030777444</v>
      </c>
      <c r="G91" s="269" t="s">
        <v>748</v>
      </c>
      <c r="H91" s="269" t="s">
        <v>749</v>
      </c>
    </row>
    <row r="92" spans="1:10" ht="15" customHeight="1" x14ac:dyDescent="0.2">
      <c r="A92" s="297"/>
      <c r="B92" s="315" t="s">
        <v>750</v>
      </c>
      <c r="C92" s="315"/>
      <c r="E92" s="269" t="s">
        <v>751</v>
      </c>
      <c r="F92" s="269">
        <v>41588800</v>
      </c>
      <c r="G92" s="269" t="s">
        <v>752</v>
      </c>
      <c r="H92" s="269" t="s">
        <v>701</v>
      </c>
    </row>
    <row r="93" spans="1:10" ht="15" customHeight="1" x14ac:dyDescent="0.2">
      <c r="A93" s="62"/>
      <c r="B93" s="314" t="s">
        <v>753</v>
      </c>
      <c r="C93" s="315"/>
      <c r="E93" s="269" t="s">
        <v>754</v>
      </c>
      <c r="F93" s="269" t="s">
        <v>755</v>
      </c>
      <c r="G93" s="269" t="s">
        <v>756</v>
      </c>
      <c r="H93" s="269" t="s">
        <v>757</v>
      </c>
    </row>
    <row r="94" spans="1:10" ht="15" customHeight="1" x14ac:dyDescent="0.2">
      <c r="A94" s="297"/>
      <c r="B94" s="315" t="s">
        <v>758</v>
      </c>
      <c r="C94" s="315"/>
      <c r="E94" s="269" t="s">
        <v>759</v>
      </c>
      <c r="F94" s="269" t="s">
        <v>760</v>
      </c>
      <c r="G94" s="269" t="s">
        <v>761</v>
      </c>
      <c r="H94" s="269" t="s">
        <v>762</v>
      </c>
    </row>
    <row r="95" spans="1:10" ht="15" customHeight="1" x14ac:dyDescent="0.2">
      <c r="A95" s="62"/>
      <c r="B95" s="315" t="s">
        <v>763</v>
      </c>
      <c r="C95" s="315"/>
      <c r="E95" s="269" t="s">
        <v>764</v>
      </c>
      <c r="F95" s="269">
        <v>8066293001</v>
      </c>
      <c r="G95" s="269" t="s">
        <v>765</v>
      </c>
      <c r="H95" s="269" t="s">
        <v>766</v>
      </c>
    </row>
    <row r="96" spans="1:10" s="319" customFormat="1" ht="15" customHeight="1" x14ac:dyDescent="0.2">
      <c r="A96" s="297"/>
      <c r="B96" s="314" t="s">
        <v>767</v>
      </c>
      <c r="C96" s="314"/>
      <c r="D96"/>
      <c r="E96" s="319" t="s">
        <v>768</v>
      </c>
      <c r="F96" s="319">
        <v>919591988130</v>
      </c>
      <c r="G96" s="319" t="s">
        <v>769</v>
      </c>
      <c r="H96" s="319" t="s">
        <v>770</v>
      </c>
    </row>
    <row r="97" spans="1:4" ht="15" customHeight="1" x14ac:dyDescent="0.2">
      <c r="A97" s="62"/>
      <c r="B97" s="316" t="s">
        <v>772</v>
      </c>
      <c r="C97" s="298"/>
    </row>
    <row r="98" spans="1:4" s="319" customFormat="1" ht="15" customHeight="1" x14ac:dyDescent="0.2">
      <c r="A98" s="297"/>
      <c r="B98" s="317" t="s">
        <v>773</v>
      </c>
      <c r="C98" s="318"/>
      <c r="D98"/>
    </row>
    <row r="99" spans="1:4" ht="15" customHeight="1" x14ac:dyDescent="0.2">
      <c r="A99" s="62"/>
      <c r="B99" s="316" t="s">
        <v>774</v>
      </c>
      <c r="C99" s="298"/>
    </row>
    <row r="100" spans="1:4" ht="15" customHeight="1" x14ac:dyDescent="0.2">
      <c r="A100" s="297"/>
      <c r="B100" s="316" t="s">
        <v>775</v>
      </c>
      <c r="C100" s="298"/>
    </row>
    <row r="101" spans="1:4" ht="15" customHeight="1" x14ac:dyDescent="0.2">
      <c r="A101" s="62"/>
      <c r="B101" s="316" t="s">
        <v>776</v>
      </c>
      <c r="C101" s="298"/>
    </row>
    <row r="102" spans="1:4" ht="15" customHeight="1" x14ac:dyDescent="0.2">
      <c r="A102" s="297"/>
      <c r="B102" s="316" t="s">
        <v>777</v>
      </c>
      <c r="C102" s="298"/>
    </row>
    <row r="103" spans="1:4" ht="15" customHeight="1" x14ac:dyDescent="0.2">
      <c r="A103" s="62"/>
      <c r="B103" s="316" t="s">
        <v>778</v>
      </c>
      <c r="C103" s="298"/>
    </row>
    <row r="104" spans="1:4" ht="15" customHeight="1" x14ac:dyDescent="0.2">
      <c r="A104" s="297"/>
      <c r="B104" s="316" t="s">
        <v>779</v>
      </c>
      <c r="C104" s="298"/>
    </row>
    <row r="105" spans="1:4" ht="15" customHeight="1" x14ac:dyDescent="0.2">
      <c r="A105" s="62"/>
      <c r="B105" s="316" t="s">
        <v>780</v>
      </c>
      <c r="C105" s="298"/>
    </row>
    <row r="106" spans="1:4" ht="15" customHeight="1" x14ac:dyDescent="0.2">
      <c r="A106" s="297"/>
      <c r="B106" s="316" t="s">
        <v>781</v>
      </c>
      <c r="C106" s="298"/>
    </row>
    <row r="107" spans="1:4" s="319" customFormat="1" ht="15" customHeight="1" x14ac:dyDescent="0.2">
      <c r="A107" s="62"/>
      <c r="B107" s="317" t="s">
        <v>782</v>
      </c>
      <c r="C107" s="318"/>
      <c r="D107"/>
    </row>
    <row r="108" spans="1:4" ht="15" customHeight="1" x14ac:dyDescent="0.2">
      <c r="A108" s="297"/>
      <c r="B108" s="316" t="s">
        <v>783</v>
      </c>
      <c r="C108" s="298"/>
    </row>
    <row r="109" spans="1:4" ht="15" customHeight="1" x14ac:dyDescent="0.2">
      <c r="A109" s="62"/>
      <c r="B109" s="316" t="s">
        <v>784</v>
      </c>
      <c r="C109" s="298"/>
    </row>
    <row r="110" spans="1:4" ht="15" customHeight="1" x14ac:dyDescent="0.2">
      <c r="A110" s="297"/>
      <c r="B110" s="316" t="s">
        <v>785</v>
      </c>
      <c r="C110" s="298"/>
    </row>
    <row r="111" spans="1:4" ht="15" customHeight="1" x14ac:dyDescent="0.2">
      <c r="A111" s="62"/>
      <c r="B111" s="316" t="s">
        <v>786</v>
      </c>
      <c r="C111" s="298"/>
    </row>
    <row r="112" spans="1:4" ht="15" customHeight="1" x14ac:dyDescent="0.2">
      <c r="A112" s="297"/>
      <c r="B112" s="316" t="s">
        <v>787</v>
      </c>
      <c r="C112" s="298"/>
    </row>
  </sheetData>
  <autoFilter ref="C1:C112">
    <filterColumn colId="0">
      <filters blank="1"/>
    </filterColumn>
  </autoFilter>
  <hyperlinks>
    <hyperlink ref="AB19" r:id="rId1"/>
    <hyperlink ref="W3" r:id="rId2"/>
    <hyperlink ref="K14" r:id="rId3"/>
    <hyperlink ref="H7" r:id="rId4"/>
    <hyperlink ref="H14" r:id="rId5"/>
    <hyperlink ref="P14" r:id="rId6"/>
    <hyperlink ref="L7" r:id="rId7"/>
    <hyperlink ref="T14" r:id="rId8"/>
    <hyperlink ref="L12" r:id="rId9"/>
    <hyperlink ref="H12" r:id="rId10"/>
    <hyperlink ref="P12" r:id="rId11"/>
    <hyperlink ref="W14" r:id="rId12"/>
    <hyperlink ref="AA14" r:id="rId13"/>
    <hyperlink ref="H8" r:id="rId14"/>
    <hyperlink ref="H19" r:id="rId15"/>
    <hyperlink ref="L19" r:id="rId16"/>
    <hyperlink ref="L3" r:id="rId17"/>
    <hyperlink ref="P3" r:id="rId18"/>
    <hyperlink ref="L8" r:id="rId19"/>
    <hyperlink ref="T3" r:id="rId20"/>
    <hyperlink ref="P19" r:id="rId21"/>
    <hyperlink ref="H3" r:id="rId22"/>
    <hyperlink ref="T19" r:id="rId23"/>
    <hyperlink ref="P8" r:id="rId24"/>
    <hyperlink ref="AA3" r:id="rId25"/>
    <hyperlink ref="H15" r:id="rId26"/>
    <hyperlink ref="L15" r:id="rId27"/>
    <hyperlink ref="T29" r:id="rId28"/>
    <hyperlink ref="L30" r:id="rId29"/>
    <hyperlink ref="H30" r:id="rId30"/>
    <hyperlink ref="P30" r:id="rId31"/>
    <hyperlink ref="T30" r:id="rId32"/>
    <hyperlink ref="H46" r:id="rId33"/>
    <hyperlink ref="H47" r:id="rId34"/>
    <hyperlink ref="L29" r:id="rId35"/>
    <hyperlink ref="P29" r:id="rId36"/>
    <hyperlink ref="H32" r:id="rId37"/>
    <hyperlink ref="H29" r:id="rId38"/>
    <hyperlink ref="H55" r:id="rId39"/>
    <hyperlink ref="H49" r:id="rId40"/>
    <hyperlink ref="H9" r:id="rId41"/>
    <hyperlink ref="L9" r:id="rId42"/>
    <hyperlink ref="P9" r:id="rId43"/>
    <hyperlink ref="L49" r:id="rId44"/>
    <hyperlink ref="H33" r:id="rId45"/>
    <hyperlink ref="H44" r:id="rId46"/>
    <hyperlink ref="L33" r:id="rId47"/>
    <hyperlink ref="H42" r:id="rId48"/>
    <hyperlink ref="L42" r:id="rId49"/>
    <hyperlink ref="H51" r:id="rId50"/>
    <hyperlink ref="H23" r:id="rId51"/>
    <hyperlink ref="L41" r:id="rId52"/>
    <hyperlink ref="H41" r:id="rId53"/>
    <hyperlink ref="H37" r:id="rId54"/>
    <hyperlink ref="L37" r:id="rId55"/>
    <hyperlink ref="H56" r:id="rId56"/>
    <hyperlink ref="L56" r:id="rId57"/>
    <hyperlink ref="H4" r:id="rId58"/>
    <hyperlink ref="H6" r:id="rId59"/>
    <hyperlink ref="H22" r:id="rId60"/>
    <hyperlink ref="L22" r:id="rId61"/>
    <hyperlink ref="P22" r:id="rId62"/>
    <hyperlink ref="T22" r:id="rId63"/>
    <hyperlink ref="W22" r:id="rId64"/>
    <hyperlink ref="AA22" r:id="rId65"/>
    <hyperlink ref="H50" r:id="rId66"/>
    <hyperlink ref="L50" r:id="rId67"/>
    <hyperlink ref="P50" r:id="rId68"/>
    <hyperlink ref="L2" r:id="rId69" display="sreyoshi.banerjee@accenture.com"/>
    <hyperlink ref="P2" r:id="rId70"/>
    <hyperlink ref="H5" r:id="rId71"/>
    <hyperlink ref="W2" r:id="rId72"/>
    <hyperlink ref="T2" r:id="rId73"/>
    <hyperlink ref="H10" r:id="rId74"/>
    <hyperlink ref="L10" r:id="rId75"/>
    <hyperlink ref="H11" r:id="rId76"/>
    <hyperlink ref="P11" r:id="rId77"/>
    <hyperlink ref="W11" r:id="rId78"/>
    <hyperlink ref="P10" r:id="rId79"/>
    <hyperlink ref="T13" r:id="rId80"/>
    <hyperlink ref="W13" r:id="rId81"/>
    <hyperlink ref="H13" r:id="rId82"/>
    <hyperlink ref="L13" r:id="rId83" display="Archana.Sali@ca.com"/>
    <hyperlink ref="P13" r:id="rId84" display="vikas.kumar@syniverse.com"/>
    <hyperlink ref="H18" r:id="rId85"/>
    <hyperlink ref="L18" r:id="rId86"/>
    <hyperlink ref="H24" r:id="rId87"/>
    <hyperlink ref="L24" r:id="rId88"/>
    <hyperlink ref="L25" r:id="rId89"/>
    <hyperlink ref="H25" r:id="rId90"/>
    <hyperlink ref="S26" r:id="rId91"/>
    <hyperlink ref="H28" r:id="rId92"/>
    <hyperlink ref="AE26" r:id="rId93"/>
    <hyperlink ref="AI26" r:id="rId94"/>
    <hyperlink ref="AQ26" r:id="rId95"/>
    <hyperlink ref="H26" r:id="rId96"/>
    <hyperlink ref="L26" r:id="rId97"/>
    <hyperlink ref="P26" r:id="rId98"/>
    <hyperlink ref="AA26" r:id="rId99"/>
    <hyperlink ref="T34" r:id="rId100"/>
    <hyperlink ref="P34" r:id="rId101"/>
    <hyperlink ref="L34" r:id="rId102"/>
    <hyperlink ref="H34" r:id="rId103" display="mailto:Krishnakumar_Natarajan@mindtree.com"/>
    <hyperlink ref="L38" r:id="rId104"/>
    <hyperlink ref="H38" r:id="rId105"/>
    <hyperlink ref="L36" r:id="rId106"/>
    <hyperlink ref="W34" r:id="rId107"/>
    <hyperlink ref="P36" r:id="rId108"/>
    <hyperlink ref="H53" r:id="rId109"/>
    <hyperlink ref="H39" r:id="rId110"/>
    <hyperlink ref="L43" r:id="rId111"/>
    <hyperlink ref="H43" r:id="rId112"/>
    <hyperlink ref="L53" r:id="rId113"/>
    <hyperlink ref="H52" r:id="rId114"/>
    <hyperlink ref="H48" r:id="rId115"/>
    <hyperlink ref="P45" r:id="rId116"/>
    <hyperlink ref="H45" r:id="rId117"/>
    <hyperlink ref="L17" r:id="rId118"/>
    <hyperlink ref="H17" r:id="rId119"/>
    <hyperlink ref="H54" r:id="rId120"/>
    <hyperlink ref="L54" r:id="rId121"/>
    <hyperlink ref="P54" r:id="rId122"/>
    <hyperlink ref="T54" r:id="rId123"/>
    <hyperlink ref="W54" r:id="rId124"/>
    <hyperlink ref="H27" r:id="rId125"/>
    <hyperlink ref="P43" r:id="rId126"/>
    <hyperlink ref="L39" r:id="rId127"/>
    <hyperlink ref="H2" r:id="rId128"/>
    <hyperlink ref="AA2" r:id="rId129"/>
    <hyperlink ref="P35" r:id="rId130"/>
    <hyperlink ref="P15" r:id="rId131"/>
    <hyperlink ref="W10" r:id="rId132"/>
    <hyperlink ref="L32" r:id="rId133"/>
    <hyperlink ref="H21" r:id="rId134"/>
    <hyperlink ref="T45" r:id="rId135"/>
    <hyperlink ref="H59" r:id="rId136"/>
    <hyperlink ref="L60" r:id="rId137"/>
    <hyperlink ref="H60" r:id="rId138"/>
    <hyperlink ref="P60" r:id="rId139"/>
    <hyperlink ref="H61" r:id="rId140"/>
    <hyperlink ref="H62" r:id="rId141"/>
    <hyperlink ref="T66" r:id="rId142"/>
    <hyperlink ref="L66" r:id="rId143"/>
    <hyperlink ref="H63" r:id="rId144"/>
    <hyperlink ref="P63" r:id="rId145"/>
    <hyperlink ref="L63" r:id="rId146"/>
    <hyperlink ref="T63" r:id="rId147"/>
    <hyperlink ref="H66" r:id="rId148"/>
    <hyperlink ref="P65" r:id="rId149"/>
    <hyperlink ref="T65" r:id="rId150"/>
    <hyperlink ref="H65" r:id="rId151"/>
    <hyperlink ref="L64" r:id="rId152"/>
    <hyperlink ref="L65" r:id="rId153"/>
    <hyperlink ref="H67" r:id="rId154"/>
    <hyperlink ref="K67" r:id="rId155"/>
    <hyperlink ref="P67" r:id="rId156"/>
    <hyperlink ref="P55" r:id="rId157"/>
    <hyperlink ref="M7" r:id="rId158"/>
  </hyperlinks>
  <pageMargins left="0.7" right="0.7" top="0.75" bottom="0.75" header="0.3" footer="0.3"/>
  <pageSetup orientation="portrait" r:id="rId159"/>
  <legacyDrawing r:id="rId16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108"/>
  <sheetViews>
    <sheetView tabSelected="1" workbookViewId="0">
      <selection activeCell="K7" sqref="K7"/>
    </sheetView>
  </sheetViews>
  <sheetFormatPr baseColWidth="10" defaultColWidth="8.83203125" defaultRowHeight="15" customHeight="1" x14ac:dyDescent="0.2"/>
  <cols>
    <col min="1" max="1" width="5" style="60" bestFit="1" customWidth="1"/>
    <col min="2" max="2" width="24.6640625" style="172" bestFit="1" customWidth="1"/>
    <col min="3" max="3" width="20.1640625" style="60" bestFit="1" customWidth="1"/>
    <col min="4" max="4" width="22.83203125" style="60" customWidth="1"/>
    <col min="5" max="5" width="35" style="60" bestFit="1" customWidth="1"/>
    <col min="6" max="6" width="22.5" style="60" bestFit="1" customWidth="1"/>
    <col min="7" max="7" width="24.5" style="60" bestFit="1" customWidth="1"/>
    <col min="8" max="8" width="40.5" style="60" bestFit="1" customWidth="1"/>
    <col min="9" max="9" width="16.83203125" style="60" bestFit="1" customWidth="1"/>
    <col min="10" max="10" width="15.5" style="60" customWidth="1"/>
    <col min="11" max="11" width="32" style="60" bestFit="1" customWidth="1"/>
    <col min="12" max="12" width="15.6640625" style="60" bestFit="1" customWidth="1"/>
    <col min="13" max="13" width="21.6640625" style="60" bestFit="1" customWidth="1"/>
    <col min="14" max="14" width="33" style="60" bestFit="1" customWidth="1"/>
    <col min="15" max="15" width="18.1640625" style="60" bestFit="1" customWidth="1"/>
    <col min="16" max="16" width="19.5" style="60" bestFit="1" customWidth="1"/>
    <col min="17" max="17" width="12" style="60" customWidth="1"/>
    <col min="18" max="18" width="37.33203125" style="60" bestFit="1" customWidth="1"/>
    <col min="19" max="19" width="10.5" style="60" bestFit="1" customWidth="1"/>
    <col min="20" max="20" width="11.5" style="60" bestFit="1" customWidth="1"/>
    <col min="21" max="21" width="11" style="60" bestFit="1" customWidth="1"/>
    <col min="22" max="22" width="24.6640625" style="60" bestFit="1" customWidth="1"/>
    <col min="23" max="23" width="19" style="60" bestFit="1" customWidth="1"/>
    <col min="24" max="16384" width="8.83203125" style="60"/>
  </cols>
  <sheetData>
    <row r="1" spans="1:39" x14ac:dyDescent="0.2">
      <c r="A1" s="55" t="s">
        <v>99</v>
      </c>
      <c r="B1" s="56" t="s">
        <v>0</v>
      </c>
      <c r="C1" s="58" t="s">
        <v>100</v>
      </c>
      <c r="D1" s="58" t="s">
        <v>3</v>
      </c>
      <c r="E1" s="58" t="s">
        <v>4</v>
      </c>
      <c r="F1" s="58" t="s">
        <v>100</v>
      </c>
      <c r="G1" s="58" t="s">
        <v>3</v>
      </c>
      <c r="H1" s="58" t="s">
        <v>4</v>
      </c>
      <c r="I1" s="58" t="s">
        <v>100</v>
      </c>
      <c r="J1" s="58" t="s">
        <v>3</v>
      </c>
      <c r="K1" s="58" t="s">
        <v>4</v>
      </c>
      <c r="L1" s="58" t="s">
        <v>100</v>
      </c>
      <c r="M1" s="58" t="s">
        <v>3</v>
      </c>
      <c r="N1" s="58" t="s">
        <v>4</v>
      </c>
      <c r="O1" s="58" t="s">
        <v>100</v>
      </c>
      <c r="P1" s="58" t="s">
        <v>101</v>
      </c>
      <c r="Q1" s="58" t="s">
        <v>3</v>
      </c>
      <c r="R1" s="58" t="s">
        <v>4</v>
      </c>
      <c r="S1" s="58" t="s">
        <v>100</v>
      </c>
      <c r="T1" s="58" t="s">
        <v>101</v>
      </c>
      <c r="U1" s="58" t="s">
        <v>3</v>
      </c>
      <c r="V1" s="58" t="s">
        <v>4</v>
      </c>
      <c r="W1" s="58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</row>
    <row r="2" spans="1:39" x14ac:dyDescent="0.2">
      <c r="A2" s="61">
        <v>1</v>
      </c>
      <c r="B2" s="233" t="s">
        <v>102</v>
      </c>
      <c r="C2" s="64" t="s">
        <v>104</v>
      </c>
      <c r="D2" s="64"/>
      <c r="E2" s="65" t="s">
        <v>106</v>
      </c>
      <c r="F2" s="66" t="s">
        <v>107</v>
      </c>
      <c r="G2" s="66">
        <v>9880179793</v>
      </c>
      <c r="H2" s="67" t="s">
        <v>109</v>
      </c>
      <c r="I2" s="68" t="s">
        <v>110</v>
      </c>
      <c r="J2" s="68"/>
      <c r="K2" s="69" t="s">
        <v>112</v>
      </c>
      <c r="L2" s="70" t="s">
        <v>113</v>
      </c>
      <c r="M2" s="70"/>
      <c r="N2" s="71" t="s">
        <v>115</v>
      </c>
      <c r="O2" s="72" t="s">
        <v>116</v>
      </c>
      <c r="P2" s="73" t="s">
        <v>13</v>
      </c>
      <c r="Q2" s="73">
        <v>9845881197</v>
      </c>
      <c r="R2" s="74" t="s">
        <v>117</v>
      </c>
      <c r="S2" s="75" t="s">
        <v>118</v>
      </c>
      <c r="T2" s="75" t="s">
        <v>85</v>
      </c>
      <c r="U2" s="75">
        <v>9008490539</v>
      </c>
      <c r="V2" s="76" t="s">
        <v>119</v>
      </c>
      <c r="W2" s="75" t="s">
        <v>120</v>
      </c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8"/>
    </row>
    <row r="3" spans="1:39" ht="15.75" customHeight="1" x14ac:dyDescent="0.2">
      <c r="A3" s="61">
        <v>2</v>
      </c>
      <c r="B3" s="62" t="s">
        <v>121</v>
      </c>
      <c r="C3" s="79" t="s">
        <v>123</v>
      </c>
      <c r="D3" s="79">
        <v>9845488025</v>
      </c>
      <c r="E3" s="80" t="s">
        <v>124</v>
      </c>
      <c r="F3" s="66" t="s">
        <v>125</v>
      </c>
      <c r="G3" s="66" t="s">
        <v>126</v>
      </c>
      <c r="H3" s="81" t="s">
        <v>127</v>
      </c>
      <c r="I3" s="68" t="s">
        <v>128</v>
      </c>
      <c r="J3" s="68"/>
      <c r="K3" s="83" t="s">
        <v>129</v>
      </c>
      <c r="L3" s="70" t="s">
        <v>130</v>
      </c>
      <c r="M3" s="70"/>
      <c r="N3" s="70"/>
      <c r="O3" s="72"/>
      <c r="P3" s="72"/>
      <c r="Q3" s="72"/>
      <c r="R3" s="72"/>
      <c r="S3" s="75" t="s">
        <v>131</v>
      </c>
      <c r="T3" s="75"/>
      <c r="U3" s="75">
        <v>9500188288</v>
      </c>
      <c r="V3" s="76" t="s">
        <v>132</v>
      </c>
      <c r="W3" s="75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</row>
    <row r="4" spans="1:39" x14ac:dyDescent="0.2">
      <c r="A4" s="61">
        <v>3</v>
      </c>
      <c r="B4" s="234" t="s">
        <v>133</v>
      </c>
      <c r="C4" s="79" t="s">
        <v>135</v>
      </c>
      <c r="D4" s="79">
        <v>41939533</v>
      </c>
      <c r="E4" s="65" t="s">
        <v>137</v>
      </c>
      <c r="F4" s="66" t="s">
        <v>138</v>
      </c>
      <c r="G4" s="66" t="s">
        <v>140</v>
      </c>
      <c r="H4" s="81" t="s">
        <v>141</v>
      </c>
      <c r="I4" s="82" t="s">
        <v>142</v>
      </c>
      <c r="J4" s="86">
        <v>9740091318</v>
      </c>
      <c r="K4" s="69" t="s">
        <v>144</v>
      </c>
      <c r="L4" s="87" t="s">
        <v>145</v>
      </c>
      <c r="M4" s="87" t="s">
        <v>147</v>
      </c>
      <c r="N4" s="71" t="s">
        <v>148</v>
      </c>
      <c r="O4" s="88" t="s">
        <v>149</v>
      </c>
      <c r="P4" s="73" t="s">
        <v>28</v>
      </c>
      <c r="Q4" s="88">
        <v>9810201586</v>
      </c>
      <c r="R4" s="89" t="s">
        <v>150</v>
      </c>
      <c r="S4" s="90" t="s">
        <v>151</v>
      </c>
      <c r="T4" s="90" t="s">
        <v>13</v>
      </c>
      <c r="U4" s="90">
        <v>9611671155</v>
      </c>
      <c r="V4" s="76" t="s">
        <v>152</v>
      </c>
      <c r="W4" s="75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</row>
    <row r="5" spans="1:39" x14ac:dyDescent="0.2">
      <c r="A5" s="61">
        <v>4</v>
      </c>
      <c r="B5" s="62" t="s">
        <v>153</v>
      </c>
      <c r="C5" s="91" t="s">
        <v>154</v>
      </c>
      <c r="D5" s="91">
        <v>9740277881</v>
      </c>
      <c r="E5" s="80" t="s">
        <v>155</v>
      </c>
      <c r="F5" s="92"/>
      <c r="G5" s="92"/>
      <c r="H5" s="92"/>
      <c r="I5" s="93"/>
      <c r="J5" s="93"/>
      <c r="K5" s="93"/>
      <c r="L5" s="94"/>
      <c r="M5" s="94"/>
      <c r="N5" s="94"/>
      <c r="O5" s="95"/>
      <c r="P5" s="95"/>
      <c r="Q5" s="95"/>
      <c r="R5" s="95"/>
      <c r="S5" s="96"/>
      <c r="T5" s="96"/>
      <c r="U5" s="96"/>
      <c r="V5" s="96"/>
      <c r="W5" s="96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</row>
    <row r="6" spans="1:39" x14ac:dyDescent="0.2">
      <c r="A6" s="61">
        <v>5</v>
      </c>
      <c r="B6" s="236" t="s">
        <v>5</v>
      </c>
      <c r="C6" s="64" t="s">
        <v>6</v>
      </c>
      <c r="D6" s="64">
        <v>9900177270</v>
      </c>
      <c r="E6" s="80" t="s">
        <v>156</v>
      </c>
      <c r="F6" s="92"/>
      <c r="G6" s="92"/>
      <c r="H6" s="92"/>
      <c r="I6" s="93"/>
      <c r="J6" s="93"/>
      <c r="K6" s="93"/>
      <c r="L6" s="94"/>
      <c r="M6" s="94"/>
      <c r="N6" s="94"/>
      <c r="O6" s="95"/>
      <c r="P6" s="95"/>
      <c r="Q6" s="95"/>
      <c r="R6" s="95"/>
      <c r="S6" s="96"/>
      <c r="T6" s="96"/>
      <c r="U6" s="96"/>
      <c r="V6" s="96"/>
      <c r="W6" s="96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</row>
    <row r="7" spans="1:39" x14ac:dyDescent="0.2">
      <c r="A7" s="61">
        <v>6</v>
      </c>
      <c r="B7" s="97" t="s">
        <v>8</v>
      </c>
      <c r="C7" s="64" t="s">
        <v>9</v>
      </c>
      <c r="D7" s="64">
        <v>9739702727</v>
      </c>
      <c r="E7" s="80" t="s">
        <v>158</v>
      </c>
      <c r="F7" s="99" t="s">
        <v>159</v>
      </c>
      <c r="G7" s="99"/>
      <c r="H7" s="99"/>
      <c r="I7" s="68"/>
      <c r="J7" s="68"/>
      <c r="K7" s="68"/>
      <c r="L7" s="70"/>
      <c r="M7" s="70"/>
      <c r="N7" s="70"/>
      <c r="O7" s="72"/>
      <c r="P7" s="72"/>
      <c r="Q7" s="72"/>
      <c r="R7" s="72"/>
      <c r="S7" s="75"/>
      <c r="T7" s="75"/>
      <c r="U7" s="75"/>
      <c r="V7" s="75"/>
      <c r="W7" s="75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8"/>
    </row>
    <row r="8" spans="1:39" x14ac:dyDescent="0.2">
      <c r="A8" s="61">
        <v>7</v>
      </c>
      <c r="B8" s="97" t="s">
        <v>11</v>
      </c>
      <c r="C8" s="101" t="s">
        <v>12</v>
      </c>
      <c r="D8" s="101">
        <v>9980504887</v>
      </c>
      <c r="E8" s="80" t="s">
        <v>161</v>
      </c>
      <c r="F8" s="102"/>
      <c r="G8" s="102"/>
      <c r="H8" s="103"/>
      <c r="I8" s="104"/>
      <c r="J8" s="104"/>
      <c r="K8" s="104"/>
      <c r="L8" s="105"/>
      <c r="M8" s="105"/>
      <c r="N8" s="105"/>
      <c r="O8" s="106"/>
      <c r="P8" s="106"/>
      <c r="Q8" s="106"/>
      <c r="R8" s="106"/>
      <c r="S8" s="107"/>
      <c r="T8" s="107"/>
      <c r="U8" s="107"/>
      <c r="V8" s="107"/>
      <c r="W8" s="107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</row>
    <row r="9" spans="1:39" x14ac:dyDescent="0.2">
      <c r="A9" s="61">
        <v>8</v>
      </c>
      <c r="B9" s="62" t="s">
        <v>162</v>
      </c>
      <c r="C9" s="91" t="s">
        <v>164</v>
      </c>
      <c r="D9" s="91">
        <v>9945273155</v>
      </c>
      <c r="E9" s="80" t="s">
        <v>165</v>
      </c>
      <c r="F9" s="92" t="s">
        <v>166</v>
      </c>
      <c r="G9" s="92"/>
      <c r="H9" s="92"/>
      <c r="I9" s="93"/>
      <c r="J9" s="93"/>
      <c r="K9" s="93"/>
      <c r="L9" s="94"/>
      <c r="M9" s="94"/>
      <c r="N9" s="94"/>
      <c r="O9" s="95"/>
      <c r="P9" s="95"/>
      <c r="Q9" s="95"/>
      <c r="R9" s="95"/>
      <c r="S9" s="96"/>
      <c r="T9" s="96"/>
      <c r="U9" s="96"/>
      <c r="V9" s="96"/>
      <c r="W9" s="96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</row>
    <row r="10" spans="1:39" x14ac:dyDescent="0.2">
      <c r="A10" s="61">
        <v>9</v>
      </c>
      <c r="B10" s="248" t="s">
        <v>167</v>
      </c>
      <c r="C10" s="64" t="s">
        <v>168</v>
      </c>
      <c r="D10" s="109">
        <v>9980899688</v>
      </c>
      <c r="E10" s="80" t="s">
        <v>169</v>
      </c>
      <c r="F10" s="110" t="s">
        <v>170</v>
      </c>
      <c r="G10" s="110">
        <v>9632226321</v>
      </c>
      <c r="H10" s="81" t="s">
        <v>171</v>
      </c>
      <c r="I10" s="111" t="s">
        <v>172</v>
      </c>
      <c r="J10" s="111"/>
      <c r="K10" s="69" t="s">
        <v>173</v>
      </c>
      <c r="L10" s="112" t="s">
        <v>174</v>
      </c>
      <c r="M10" s="112"/>
      <c r="N10" s="71" t="s">
        <v>176</v>
      </c>
      <c r="O10" s="88"/>
      <c r="P10" s="88"/>
      <c r="Q10" s="88"/>
      <c r="R10" s="88"/>
      <c r="S10" s="90"/>
      <c r="T10" s="90"/>
      <c r="U10" s="90"/>
      <c r="V10" s="90"/>
      <c r="W10" s="90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</row>
    <row r="11" spans="1:39" x14ac:dyDescent="0.2">
      <c r="A11" s="61">
        <v>10</v>
      </c>
      <c r="B11" s="248" t="s">
        <v>177</v>
      </c>
      <c r="C11" s="64" t="s">
        <v>179</v>
      </c>
      <c r="D11" s="64">
        <v>9645011129</v>
      </c>
      <c r="E11" s="113" t="s">
        <v>180</v>
      </c>
      <c r="F11" s="66" t="s">
        <v>181</v>
      </c>
      <c r="G11" s="66">
        <v>9946430015</v>
      </c>
      <c r="H11" s="81" t="s">
        <v>182</v>
      </c>
      <c r="I11" s="68"/>
      <c r="J11" s="68"/>
      <c r="K11" s="68"/>
      <c r="L11" s="70"/>
      <c r="M11" s="70"/>
      <c r="N11" s="87"/>
      <c r="O11" s="72"/>
      <c r="P11" s="72"/>
      <c r="Q11" s="72"/>
      <c r="R11" s="72"/>
      <c r="S11" s="75"/>
      <c r="T11" s="75"/>
      <c r="U11" s="75"/>
      <c r="V11" s="75"/>
      <c r="W11" s="75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</row>
    <row r="12" spans="1:39" x14ac:dyDescent="0.2">
      <c r="A12" s="61">
        <v>11</v>
      </c>
      <c r="B12" s="249" t="s">
        <v>14</v>
      </c>
      <c r="C12" s="64" t="s">
        <v>15</v>
      </c>
      <c r="D12" s="64" t="s">
        <v>17</v>
      </c>
      <c r="E12" s="80" t="s">
        <v>184</v>
      </c>
      <c r="F12" s="110" t="s">
        <v>185</v>
      </c>
      <c r="G12" s="110" t="s">
        <v>187</v>
      </c>
      <c r="H12" s="81" t="s">
        <v>188</v>
      </c>
      <c r="I12" s="111" t="s">
        <v>189</v>
      </c>
      <c r="J12" s="111">
        <v>9980971444</v>
      </c>
      <c r="K12" s="69" t="s">
        <v>190</v>
      </c>
      <c r="L12" s="112"/>
      <c r="M12" s="112"/>
      <c r="N12" s="112"/>
      <c r="O12" s="88"/>
      <c r="P12" s="88"/>
      <c r="Q12" s="88"/>
      <c r="R12" s="88"/>
      <c r="S12" s="90"/>
      <c r="T12" s="90"/>
      <c r="U12" s="90"/>
      <c r="V12" s="90"/>
      <c r="W12" s="90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</row>
    <row r="13" spans="1:39" x14ac:dyDescent="0.2">
      <c r="A13" s="61">
        <v>12</v>
      </c>
      <c r="B13" s="249" t="s">
        <v>626</v>
      </c>
      <c r="C13" s="64" t="s">
        <v>192</v>
      </c>
      <c r="D13" s="109" t="s">
        <v>194</v>
      </c>
      <c r="E13" s="80" t="s">
        <v>195</v>
      </c>
      <c r="F13" s="110" t="s">
        <v>196</v>
      </c>
      <c r="G13" s="110">
        <v>49146016</v>
      </c>
      <c r="H13" s="81" t="s">
        <v>198</v>
      </c>
      <c r="I13" s="114" t="s">
        <v>199</v>
      </c>
      <c r="J13" s="111" t="s">
        <v>201</v>
      </c>
      <c r="K13" s="69" t="s">
        <v>202</v>
      </c>
      <c r="L13" s="112"/>
      <c r="M13" s="112"/>
      <c r="N13" s="112"/>
      <c r="O13" s="88"/>
      <c r="P13" s="88"/>
      <c r="Q13" s="88"/>
      <c r="R13" s="88"/>
      <c r="S13" s="90"/>
      <c r="T13" s="90"/>
      <c r="U13" s="90"/>
      <c r="V13" s="90"/>
      <c r="W13" s="90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</row>
    <row r="14" spans="1:39" x14ac:dyDescent="0.2">
      <c r="A14" s="61">
        <v>13</v>
      </c>
      <c r="B14" s="455" t="s">
        <v>203</v>
      </c>
      <c r="C14" s="456" t="s">
        <v>205</v>
      </c>
      <c r="D14" s="457"/>
      <c r="E14" s="458" t="s">
        <v>206</v>
      </c>
      <c r="F14" s="456" t="s">
        <v>207</v>
      </c>
      <c r="G14" s="456">
        <v>9916347501</v>
      </c>
      <c r="H14" s="459" t="s">
        <v>208</v>
      </c>
      <c r="I14" s="82" t="s">
        <v>209</v>
      </c>
      <c r="J14" s="82">
        <v>9972096370</v>
      </c>
      <c r="K14" s="69" t="s">
        <v>211</v>
      </c>
      <c r="L14" s="70" t="s">
        <v>212</v>
      </c>
      <c r="M14" s="70"/>
      <c r="N14" s="118"/>
      <c r="O14" s="72" t="s">
        <v>214</v>
      </c>
      <c r="P14" s="72" t="s">
        <v>215</v>
      </c>
      <c r="Q14" s="72">
        <v>8978895550</v>
      </c>
      <c r="R14" s="74" t="s">
        <v>216</v>
      </c>
      <c r="S14" s="75"/>
      <c r="T14" s="75"/>
      <c r="U14" s="75"/>
      <c r="V14" s="75"/>
      <c r="W14" s="75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8"/>
    </row>
    <row r="15" spans="1:39" x14ac:dyDescent="0.2">
      <c r="A15" s="61">
        <v>14</v>
      </c>
      <c r="B15" s="236" t="s">
        <v>21</v>
      </c>
      <c r="C15" s="64" t="s">
        <v>22</v>
      </c>
      <c r="D15" s="64">
        <v>9717244855</v>
      </c>
      <c r="E15" s="64" t="s">
        <v>218</v>
      </c>
      <c r="F15" s="99" t="s">
        <v>219</v>
      </c>
      <c r="G15" s="66">
        <v>9871207603</v>
      </c>
      <c r="H15" s="66"/>
      <c r="I15" s="68" t="s">
        <v>220</v>
      </c>
      <c r="J15" s="82"/>
      <c r="K15" s="69" t="s">
        <v>222</v>
      </c>
      <c r="L15" s="70" t="s">
        <v>223</v>
      </c>
      <c r="M15" s="70">
        <v>9910161144</v>
      </c>
      <c r="N15" s="120" t="s">
        <v>224</v>
      </c>
      <c r="O15" s="72" t="s">
        <v>225</v>
      </c>
      <c r="P15" s="72" t="s">
        <v>175</v>
      </c>
      <c r="Q15" s="72">
        <v>9811305472</v>
      </c>
      <c r="R15" s="121" t="s">
        <v>226</v>
      </c>
      <c r="S15" s="75"/>
      <c r="T15" s="75"/>
      <c r="U15" s="75"/>
      <c r="V15" s="75"/>
      <c r="W15" s="75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8"/>
    </row>
    <row r="16" spans="1:39" x14ac:dyDescent="0.2">
      <c r="A16" s="61">
        <v>15</v>
      </c>
      <c r="B16" s="249" t="s">
        <v>29</v>
      </c>
      <c r="C16" s="64" t="s">
        <v>227</v>
      </c>
      <c r="D16" s="122">
        <v>9008030811</v>
      </c>
      <c r="E16" s="113" t="s">
        <v>228</v>
      </c>
      <c r="F16" s="66" t="s">
        <v>229</v>
      </c>
      <c r="G16" s="66" t="s">
        <v>230</v>
      </c>
      <c r="H16" s="123" t="s">
        <v>231</v>
      </c>
      <c r="I16" s="68" t="s">
        <v>30</v>
      </c>
      <c r="J16" s="68">
        <v>8105766553</v>
      </c>
      <c r="K16" s="83" t="s">
        <v>232</v>
      </c>
      <c r="L16" s="70"/>
      <c r="M16" s="70"/>
      <c r="N16" s="70"/>
      <c r="O16" s="72"/>
      <c r="P16" s="72"/>
      <c r="Q16" s="72"/>
      <c r="R16" s="72"/>
      <c r="S16" s="75"/>
      <c r="T16" s="75"/>
      <c r="U16" s="75"/>
      <c r="V16" s="75"/>
      <c r="W16" s="75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</row>
    <row r="17" spans="1:39" x14ac:dyDescent="0.2">
      <c r="A17" s="61">
        <v>16</v>
      </c>
      <c r="B17" s="62" t="s">
        <v>233</v>
      </c>
      <c r="C17" s="124" t="s">
        <v>234</v>
      </c>
      <c r="D17" s="64"/>
      <c r="E17" s="80" t="s">
        <v>236</v>
      </c>
      <c r="F17" s="125" t="s">
        <v>237</v>
      </c>
      <c r="G17" s="99">
        <v>9949579540</v>
      </c>
      <c r="H17" s="123" t="s">
        <v>238</v>
      </c>
      <c r="I17" s="126" t="s">
        <v>239</v>
      </c>
      <c r="J17" s="68" t="s">
        <v>241</v>
      </c>
      <c r="K17" s="127" t="s">
        <v>242</v>
      </c>
      <c r="L17" s="128" t="s">
        <v>239</v>
      </c>
      <c r="M17" s="70"/>
      <c r="N17" s="129" t="s">
        <v>242</v>
      </c>
      <c r="O17" s="72" t="s">
        <v>243</v>
      </c>
      <c r="P17" s="72" t="s">
        <v>13</v>
      </c>
      <c r="Q17" s="72"/>
      <c r="R17" s="121" t="s">
        <v>244</v>
      </c>
      <c r="S17" s="75"/>
      <c r="T17" s="75"/>
      <c r="U17" s="75"/>
      <c r="V17" s="75"/>
      <c r="W17" s="75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8"/>
    </row>
    <row r="18" spans="1:39" x14ac:dyDescent="0.2">
      <c r="A18" s="61">
        <v>17</v>
      </c>
      <c r="B18" s="233" t="s">
        <v>627</v>
      </c>
      <c r="C18" s="64" t="s">
        <v>246</v>
      </c>
      <c r="D18" s="64" t="s">
        <v>247</v>
      </c>
      <c r="E18" s="113" t="s">
        <v>248</v>
      </c>
      <c r="F18" s="99" t="s">
        <v>249</v>
      </c>
      <c r="G18" s="130" t="s">
        <v>250</v>
      </c>
      <c r="H18" s="99"/>
      <c r="I18" s="68" t="s">
        <v>251</v>
      </c>
      <c r="J18" s="68">
        <v>9036994032</v>
      </c>
      <c r="K18" s="127" t="s">
        <v>253</v>
      </c>
      <c r="L18" s="70" t="s">
        <v>254</v>
      </c>
      <c r="M18" s="70">
        <v>9845300269</v>
      </c>
      <c r="N18" s="71" t="s">
        <v>255</v>
      </c>
      <c r="O18" s="72" t="s">
        <v>256</v>
      </c>
      <c r="P18" s="72" t="s">
        <v>28</v>
      </c>
      <c r="Q18" s="72">
        <v>9620752222</v>
      </c>
      <c r="R18" s="74" t="s">
        <v>257</v>
      </c>
      <c r="S18" s="75" t="s">
        <v>258</v>
      </c>
      <c r="T18" s="75" t="s">
        <v>38</v>
      </c>
      <c r="U18" s="75">
        <v>9632318009</v>
      </c>
      <c r="V18" s="131" t="s">
        <v>259</v>
      </c>
      <c r="W18" s="75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</row>
    <row r="19" spans="1:39" x14ac:dyDescent="0.2">
      <c r="A19" s="61">
        <v>18</v>
      </c>
      <c r="B19" s="233" t="s">
        <v>260</v>
      </c>
      <c r="C19" s="64" t="s">
        <v>261</v>
      </c>
      <c r="D19" s="64">
        <v>9880592609</v>
      </c>
      <c r="E19" s="80" t="s">
        <v>263</v>
      </c>
      <c r="F19" s="99" t="s">
        <v>264</v>
      </c>
      <c r="G19" s="130">
        <v>90045597777</v>
      </c>
      <c r="H19" s="81" t="s">
        <v>265</v>
      </c>
      <c r="I19" s="68" t="s">
        <v>266</v>
      </c>
      <c r="J19" s="68"/>
      <c r="K19" s="69" t="s">
        <v>268</v>
      </c>
      <c r="L19" s="70"/>
      <c r="M19" s="70"/>
      <c r="N19" s="71"/>
      <c r="O19" s="72"/>
      <c r="P19" s="72"/>
      <c r="Q19" s="72"/>
      <c r="R19" s="89"/>
      <c r="S19" s="75"/>
      <c r="T19" s="75"/>
      <c r="U19" s="75"/>
      <c r="V19" s="131"/>
      <c r="W19" s="75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</row>
    <row r="20" spans="1:39" x14ac:dyDescent="0.2">
      <c r="A20" s="61">
        <v>19</v>
      </c>
      <c r="B20" s="233" t="s">
        <v>269</v>
      </c>
      <c r="C20" s="91" t="s">
        <v>271</v>
      </c>
      <c r="D20" s="91"/>
      <c r="E20" s="91"/>
      <c r="F20" s="92" t="s">
        <v>272</v>
      </c>
      <c r="G20" s="92"/>
      <c r="H20" s="92"/>
      <c r="I20" s="93"/>
      <c r="J20" s="93"/>
      <c r="K20" s="93"/>
      <c r="L20" s="94"/>
      <c r="M20" s="94"/>
      <c r="N20" s="94"/>
      <c r="O20" s="95"/>
      <c r="P20" s="95"/>
      <c r="Q20" s="95"/>
      <c r="R20" s="95"/>
      <c r="S20" s="96"/>
      <c r="T20" s="96"/>
      <c r="U20" s="96"/>
      <c r="V20" s="96"/>
      <c r="W20" s="96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</row>
    <row r="21" spans="1:39" x14ac:dyDescent="0.2">
      <c r="A21" s="61">
        <v>20</v>
      </c>
      <c r="B21" s="236" t="s">
        <v>273</v>
      </c>
      <c r="C21" s="132" t="s">
        <v>274</v>
      </c>
      <c r="D21" s="132">
        <v>9886892901</v>
      </c>
      <c r="E21" s="133" t="s">
        <v>275</v>
      </c>
      <c r="F21" s="134" t="s">
        <v>276</v>
      </c>
      <c r="G21" s="134"/>
      <c r="H21" s="135" t="s">
        <v>278</v>
      </c>
      <c r="I21" s="68"/>
      <c r="J21" s="68"/>
      <c r="K21" s="68"/>
      <c r="L21" s="72"/>
      <c r="M21" s="72"/>
      <c r="N21" s="72"/>
      <c r="O21" s="75"/>
      <c r="P21" s="75"/>
      <c r="Q21" s="75"/>
      <c r="R21" s="75"/>
      <c r="S21" s="77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</row>
    <row r="22" spans="1:39" x14ac:dyDescent="0.2">
      <c r="A22" s="61">
        <v>21</v>
      </c>
      <c r="B22" s="249" t="s">
        <v>279</v>
      </c>
      <c r="C22" s="64" t="s">
        <v>280</v>
      </c>
      <c r="D22" s="64">
        <v>9885429292</v>
      </c>
      <c r="E22" s="65" t="s">
        <v>282</v>
      </c>
      <c r="F22" s="99" t="s">
        <v>283</v>
      </c>
      <c r="G22" s="99">
        <v>9845452040</v>
      </c>
      <c r="H22" s="136" t="s">
        <v>284</v>
      </c>
      <c r="I22" s="68" t="s">
        <v>285</v>
      </c>
      <c r="J22" s="68">
        <v>9986699123</v>
      </c>
      <c r="K22" s="68"/>
      <c r="L22" s="70"/>
      <c r="M22" s="70"/>
      <c r="N22" s="70"/>
      <c r="O22" s="72"/>
      <c r="P22" s="72"/>
      <c r="Q22" s="72"/>
      <c r="R22" s="72"/>
      <c r="S22" s="75"/>
      <c r="T22" s="75"/>
      <c r="U22" s="75"/>
      <c r="V22" s="75"/>
      <c r="W22" s="75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8"/>
    </row>
    <row r="23" spans="1:39" x14ac:dyDescent="0.2">
      <c r="A23" s="61">
        <v>22</v>
      </c>
      <c r="B23" s="233" t="s">
        <v>287</v>
      </c>
      <c r="C23" s="64" t="s">
        <v>289</v>
      </c>
      <c r="D23" s="64"/>
      <c r="E23" s="113" t="s">
        <v>291</v>
      </c>
      <c r="F23" s="99" t="s">
        <v>292</v>
      </c>
      <c r="G23" s="99" t="s">
        <v>294</v>
      </c>
      <c r="H23" s="81" t="s">
        <v>295</v>
      </c>
      <c r="I23" s="68" t="s">
        <v>296</v>
      </c>
      <c r="J23" s="68">
        <v>9910345541</v>
      </c>
      <c r="K23" s="69" t="s">
        <v>297</v>
      </c>
      <c r="L23" s="112" t="s">
        <v>298</v>
      </c>
      <c r="M23" s="112"/>
      <c r="N23" s="71" t="s">
        <v>299</v>
      </c>
      <c r="O23" s="88"/>
      <c r="P23" s="88"/>
      <c r="Q23" s="88"/>
      <c r="R23" s="88"/>
      <c r="S23" s="90"/>
      <c r="T23" s="90"/>
      <c r="U23" s="90"/>
      <c r="V23" s="90"/>
      <c r="W23" s="138" t="s">
        <v>300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</row>
    <row r="24" spans="1:39" x14ac:dyDescent="0.2">
      <c r="A24" s="61">
        <v>23</v>
      </c>
      <c r="B24" s="62" t="s">
        <v>301</v>
      </c>
      <c r="C24" s="91" t="s">
        <v>302</v>
      </c>
      <c r="D24" s="91" t="s">
        <v>303</v>
      </c>
      <c r="E24" s="91"/>
      <c r="F24" s="92"/>
      <c r="G24" s="92"/>
      <c r="H24" s="92"/>
      <c r="I24" s="93"/>
      <c r="J24" s="93"/>
      <c r="K24" s="93"/>
      <c r="L24" s="94"/>
      <c r="M24" s="94"/>
      <c r="N24" s="94"/>
      <c r="O24" s="95"/>
      <c r="P24" s="95"/>
      <c r="Q24" s="95"/>
      <c r="R24" s="95"/>
      <c r="S24" s="96"/>
      <c r="T24" s="96"/>
      <c r="U24" s="96"/>
      <c r="V24" s="96"/>
      <c r="W24" s="96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</row>
    <row r="25" spans="1:39" x14ac:dyDescent="0.2">
      <c r="A25" s="61">
        <v>24</v>
      </c>
      <c r="B25" s="249" t="s">
        <v>304</v>
      </c>
      <c r="C25" s="64" t="s">
        <v>306</v>
      </c>
      <c r="D25" s="64">
        <v>9880187999</v>
      </c>
      <c r="E25" s="80" t="s">
        <v>307</v>
      </c>
      <c r="F25" s="99" t="s">
        <v>308</v>
      </c>
      <c r="G25" s="66"/>
      <c r="H25" s="99"/>
      <c r="I25" s="68"/>
      <c r="J25" s="68"/>
      <c r="K25" s="68"/>
      <c r="L25" s="70"/>
      <c r="M25" s="70"/>
      <c r="N25" s="70"/>
      <c r="O25" s="72"/>
      <c r="P25" s="72"/>
      <c r="Q25" s="72"/>
      <c r="R25" s="72"/>
      <c r="S25" s="75"/>
      <c r="T25" s="75"/>
      <c r="U25" s="75"/>
      <c r="V25" s="75"/>
      <c r="W25" s="75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8"/>
    </row>
    <row r="26" spans="1:39" ht="15" customHeight="1" x14ac:dyDescent="0.2">
      <c r="A26" s="61">
        <v>25</v>
      </c>
      <c r="B26" s="139" t="s">
        <v>309</v>
      </c>
      <c r="C26" s="79" t="s">
        <v>310</v>
      </c>
      <c r="D26" s="79" t="s">
        <v>311</v>
      </c>
      <c r="E26" s="140" t="s">
        <v>312</v>
      </c>
      <c r="F26" s="141" t="s">
        <v>313</v>
      </c>
      <c r="G26" s="66">
        <v>9845551520</v>
      </c>
      <c r="H26" s="123" t="s">
        <v>315</v>
      </c>
      <c r="I26" s="68" t="s">
        <v>316</v>
      </c>
      <c r="J26" s="68">
        <v>9582346610</v>
      </c>
      <c r="K26" s="69" t="s">
        <v>318</v>
      </c>
      <c r="L26" s="70" t="s">
        <v>319</v>
      </c>
      <c r="M26" s="70">
        <v>9911925266</v>
      </c>
      <c r="N26" s="71" t="s">
        <v>321</v>
      </c>
      <c r="O26" s="72" t="s">
        <v>322</v>
      </c>
      <c r="P26" s="72"/>
      <c r="Q26" s="72">
        <v>9740236681</v>
      </c>
      <c r="R26" s="74" t="s">
        <v>323</v>
      </c>
      <c r="S26" s="75" t="s">
        <v>324</v>
      </c>
      <c r="T26" s="75" t="s">
        <v>325</v>
      </c>
      <c r="U26" s="75" t="s">
        <v>326</v>
      </c>
      <c r="V26" s="76" t="s">
        <v>327</v>
      </c>
      <c r="W26" s="75" t="s">
        <v>328</v>
      </c>
      <c r="X26" s="78">
        <v>9600001833</v>
      </c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</row>
    <row r="27" spans="1:39" x14ac:dyDescent="0.2">
      <c r="A27" s="61">
        <v>26</v>
      </c>
      <c r="B27" s="62" t="s">
        <v>329</v>
      </c>
      <c r="C27" s="91" t="s">
        <v>330</v>
      </c>
      <c r="D27" s="91" t="s">
        <v>331</v>
      </c>
      <c r="E27" s="80" t="s">
        <v>332</v>
      </c>
      <c r="F27" s="92"/>
      <c r="G27" s="92"/>
      <c r="H27" s="92"/>
      <c r="I27" s="93"/>
      <c r="J27" s="93"/>
      <c r="K27" s="93"/>
      <c r="L27" s="94"/>
      <c r="M27" s="94"/>
      <c r="N27" s="94"/>
      <c r="O27" s="95"/>
      <c r="P27" s="95"/>
      <c r="Q27" s="95"/>
      <c r="R27" s="95"/>
      <c r="S27" s="96"/>
      <c r="T27" s="96"/>
      <c r="U27" s="96"/>
      <c r="V27" s="96"/>
      <c r="W27" s="96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</row>
    <row r="28" spans="1:39" x14ac:dyDescent="0.2">
      <c r="A28" s="61">
        <v>27</v>
      </c>
      <c r="B28" s="234" t="s">
        <v>333</v>
      </c>
      <c r="C28" s="64" t="s">
        <v>334</v>
      </c>
      <c r="D28" s="64">
        <v>9686739023</v>
      </c>
      <c r="E28" s="113" t="s">
        <v>335</v>
      </c>
      <c r="F28" s="66" t="s">
        <v>336</v>
      </c>
      <c r="G28" s="123">
        <v>9901899554</v>
      </c>
      <c r="H28" s="81" t="s">
        <v>337</v>
      </c>
      <c r="I28" s="68" t="s">
        <v>338</v>
      </c>
      <c r="J28" s="68">
        <v>9871199224</v>
      </c>
      <c r="K28" s="68"/>
      <c r="L28" s="70" t="s">
        <v>340</v>
      </c>
      <c r="M28" s="70"/>
      <c r="N28" s="70">
        <v>7259184184</v>
      </c>
      <c r="O28" s="72"/>
      <c r="P28" s="72"/>
      <c r="Q28" s="72"/>
      <c r="R28" s="72"/>
      <c r="S28" s="75"/>
      <c r="T28" s="75"/>
      <c r="U28" s="75"/>
      <c r="V28" s="75"/>
      <c r="W28" s="75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8"/>
    </row>
    <row r="29" spans="1:39" x14ac:dyDescent="0.2">
      <c r="A29" s="61">
        <v>28</v>
      </c>
      <c r="B29" s="250" t="s">
        <v>342</v>
      </c>
      <c r="C29" s="79" t="s">
        <v>344</v>
      </c>
      <c r="D29" s="79">
        <v>9845643000</v>
      </c>
      <c r="E29" s="80" t="s">
        <v>346</v>
      </c>
      <c r="F29" s="66" t="s">
        <v>347</v>
      </c>
      <c r="G29" s="66">
        <v>9880000500</v>
      </c>
      <c r="H29" s="81" t="s">
        <v>349</v>
      </c>
      <c r="I29" s="82"/>
      <c r="J29" s="82"/>
      <c r="K29" s="82"/>
      <c r="L29" s="87"/>
      <c r="M29" s="87"/>
      <c r="N29" s="87"/>
      <c r="O29" s="72"/>
      <c r="P29" s="72"/>
      <c r="Q29" s="72"/>
      <c r="R29" s="72"/>
      <c r="S29" s="75"/>
      <c r="T29" s="75"/>
      <c r="U29" s="75"/>
      <c r="V29" s="75"/>
      <c r="W29" s="75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8"/>
    </row>
    <row r="30" spans="1:39" x14ac:dyDescent="0.2">
      <c r="A30" s="61">
        <v>29</v>
      </c>
      <c r="B30" s="234" t="s">
        <v>350</v>
      </c>
      <c r="C30" s="79" t="s">
        <v>351</v>
      </c>
      <c r="D30" s="79">
        <v>9900114874</v>
      </c>
      <c r="E30" s="113" t="s">
        <v>353</v>
      </c>
      <c r="F30" s="66" t="s">
        <v>354</v>
      </c>
      <c r="G30" s="66">
        <v>9769570640</v>
      </c>
      <c r="H30" s="81" t="s">
        <v>356</v>
      </c>
      <c r="I30" s="82" t="s">
        <v>357</v>
      </c>
      <c r="J30" s="82">
        <v>9535529292</v>
      </c>
      <c r="K30" s="69" t="s">
        <v>359</v>
      </c>
      <c r="L30" s="87" t="s">
        <v>360</v>
      </c>
      <c r="M30" s="144" t="s">
        <v>361</v>
      </c>
      <c r="N30" s="87"/>
      <c r="O30" s="72" t="s">
        <v>362</v>
      </c>
      <c r="P30" s="72" t="s">
        <v>363</v>
      </c>
      <c r="Q30" s="72"/>
      <c r="R30" s="72" t="s">
        <v>364</v>
      </c>
      <c r="S30" s="75" t="s">
        <v>365</v>
      </c>
      <c r="T30" s="75" t="s">
        <v>366</v>
      </c>
      <c r="U30" s="75">
        <v>9958777886</v>
      </c>
      <c r="V30" s="76" t="s">
        <v>367</v>
      </c>
      <c r="W30" s="75" t="s">
        <v>368</v>
      </c>
      <c r="X30" s="75" t="s">
        <v>10</v>
      </c>
      <c r="Y30" s="75">
        <v>9831771001</v>
      </c>
      <c r="Z30" s="138" t="s">
        <v>369</v>
      </c>
      <c r="AA30" s="145" t="s">
        <v>370</v>
      </c>
      <c r="AB30" s="145" t="s">
        <v>371</v>
      </c>
      <c r="AC30" s="145">
        <v>9972830000</v>
      </c>
      <c r="AD30" s="146" t="s">
        <v>372</v>
      </c>
      <c r="AE30" s="147" t="s">
        <v>373</v>
      </c>
      <c r="AF30" s="147" t="s">
        <v>374</v>
      </c>
      <c r="AG30" s="147"/>
      <c r="AH30" s="147"/>
      <c r="AI30" s="75" t="s">
        <v>368</v>
      </c>
      <c r="AJ30" s="75" t="s">
        <v>375</v>
      </c>
      <c r="AK30" s="75">
        <v>9831771001</v>
      </c>
      <c r="AL30" s="138" t="s">
        <v>369</v>
      </c>
      <c r="AM30" s="78"/>
    </row>
    <row r="31" spans="1:39" x14ac:dyDescent="0.2">
      <c r="A31" s="61">
        <v>30</v>
      </c>
      <c r="B31" s="62" t="s">
        <v>54</v>
      </c>
      <c r="C31" s="78" t="s">
        <v>55</v>
      </c>
      <c r="D31" s="78">
        <v>33575328</v>
      </c>
      <c r="E31" s="148" t="s">
        <v>376</v>
      </c>
      <c r="F31" s="78" t="s">
        <v>377</v>
      </c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spans="1:39" x14ac:dyDescent="0.2">
      <c r="A32" s="61">
        <v>31</v>
      </c>
      <c r="B32" s="249" t="s">
        <v>378</v>
      </c>
      <c r="C32" s="64" t="s">
        <v>380</v>
      </c>
      <c r="D32" s="149">
        <v>9980435353</v>
      </c>
      <c r="E32" s="80" t="s">
        <v>382</v>
      </c>
      <c r="F32" s="99" t="s">
        <v>383</v>
      </c>
      <c r="G32" s="99">
        <v>9900930677</v>
      </c>
      <c r="H32" s="99"/>
      <c r="I32" s="82"/>
      <c r="J32" s="68"/>
      <c r="K32" s="68"/>
      <c r="L32" s="70"/>
      <c r="M32" s="70"/>
      <c r="N32" s="70"/>
      <c r="O32" s="72"/>
      <c r="P32" s="72"/>
      <c r="Q32" s="72"/>
      <c r="R32" s="72"/>
      <c r="S32" s="75"/>
      <c r="T32" s="75"/>
      <c r="U32" s="75"/>
      <c r="V32" s="75"/>
      <c r="W32" s="75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8"/>
    </row>
    <row r="33" spans="1:39" x14ac:dyDescent="0.2">
      <c r="A33" s="61">
        <v>32</v>
      </c>
      <c r="B33" s="243" t="s">
        <v>56</v>
      </c>
      <c r="C33" s="64" t="s">
        <v>384</v>
      </c>
      <c r="D33" s="91">
        <v>9886396075</v>
      </c>
      <c r="E33" s="80" t="s">
        <v>385</v>
      </c>
      <c r="F33" s="99" t="s">
        <v>386</v>
      </c>
      <c r="G33" s="99">
        <v>9900516401</v>
      </c>
      <c r="H33" s="81" t="s">
        <v>388</v>
      </c>
      <c r="I33" s="68" t="s">
        <v>389</v>
      </c>
      <c r="J33" s="68">
        <v>9980199413</v>
      </c>
      <c r="K33" s="69" t="s">
        <v>391</v>
      </c>
      <c r="L33" s="70" t="s">
        <v>392</v>
      </c>
      <c r="M33" s="70" t="s">
        <v>393</v>
      </c>
      <c r="N33" s="129" t="s">
        <v>394</v>
      </c>
      <c r="O33" s="72"/>
      <c r="P33" s="72"/>
      <c r="Q33" s="72"/>
      <c r="R33" s="72"/>
      <c r="S33" s="75"/>
      <c r="T33" s="75"/>
      <c r="U33" s="75"/>
      <c r="V33" s="75"/>
      <c r="W33" s="75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</row>
    <row r="34" spans="1:39" ht="16.5" customHeight="1" x14ac:dyDescent="0.2">
      <c r="A34" s="61">
        <v>33</v>
      </c>
      <c r="B34" s="233" t="s">
        <v>395</v>
      </c>
      <c r="C34" s="79" t="s">
        <v>396</v>
      </c>
      <c r="D34" s="79">
        <v>9845177566</v>
      </c>
      <c r="E34" s="113" t="s">
        <v>398</v>
      </c>
      <c r="F34" s="66" t="s">
        <v>399</v>
      </c>
      <c r="G34" s="66">
        <v>9686567582</v>
      </c>
      <c r="H34" s="136" t="s">
        <v>401</v>
      </c>
      <c r="I34" s="68" t="s">
        <v>402</v>
      </c>
      <c r="J34" s="68">
        <v>9845194534</v>
      </c>
      <c r="K34" s="127" t="s">
        <v>403</v>
      </c>
      <c r="L34" s="150" t="s">
        <v>404</v>
      </c>
      <c r="M34" s="70">
        <v>9686568105</v>
      </c>
      <c r="N34" s="71" t="s">
        <v>406</v>
      </c>
      <c r="O34" s="72"/>
      <c r="P34" s="72"/>
      <c r="Q34" s="72"/>
      <c r="R34" s="72"/>
      <c r="S34" s="75"/>
      <c r="T34" s="75"/>
      <c r="U34" s="75"/>
      <c r="V34" s="75"/>
      <c r="W34" s="75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</row>
    <row r="35" spans="1:39" x14ac:dyDescent="0.2">
      <c r="A35" s="61">
        <v>34</v>
      </c>
      <c r="B35" s="251" t="s">
        <v>407</v>
      </c>
      <c r="C35" s="91" t="s">
        <v>351</v>
      </c>
      <c r="D35" s="91"/>
      <c r="E35" s="91"/>
      <c r="F35" s="92"/>
      <c r="G35" s="92"/>
      <c r="H35" s="92"/>
      <c r="I35" s="93"/>
      <c r="J35" s="93"/>
      <c r="K35" s="93"/>
      <c r="L35" s="94"/>
      <c r="M35" s="94"/>
      <c r="N35" s="94"/>
      <c r="O35" s="95"/>
      <c r="P35" s="95"/>
      <c r="Q35" s="95"/>
      <c r="R35" s="95"/>
      <c r="S35" s="96"/>
      <c r="T35" s="96"/>
      <c r="U35" s="96"/>
      <c r="V35" s="96"/>
      <c r="W35" s="96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</row>
    <row r="36" spans="1:39" x14ac:dyDescent="0.2">
      <c r="A36" s="61">
        <v>35</v>
      </c>
      <c r="B36" s="249" t="s">
        <v>628</v>
      </c>
      <c r="C36" s="64" t="s">
        <v>408</v>
      </c>
      <c r="D36" s="64">
        <v>9810721845</v>
      </c>
      <c r="E36" s="80" t="s">
        <v>409</v>
      </c>
      <c r="F36" s="99" t="s">
        <v>410</v>
      </c>
      <c r="G36" s="66">
        <v>9740344881</v>
      </c>
      <c r="H36" s="81" t="s">
        <v>411</v>
      </c>
      <c r="I36" s="68"/>
      <c r="J36" s="68"/>
      <c r="K36" s="127"/>
      <c r="L36" s="70"/>
      <c r="M36" s="70"/>
      <c r="N36" s="129"/>
      <c r="O36" s="72"/>
      <c r="P36" s="72"/>
      <c r="Q36" s="72"/>
      <c r="R36" s="72"/>
      <c r="S36" s="75"/>
      <c r="T36" s="75"/>
      <c r="U36" s="75"/>
      <c r="V36" s="75"/>
      <c r="W36" s="90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</row>
    <row r="37" spans="1:39" x14ac:dyDescent="0.2">
      <c r="A37" s="61">
        <v>36</v>
      </c>
      <c r="B37" s="62" t="s">
        <v>412</v>
      </c>
      <c r="C37" s="91" t="s">
        <v>413</v>
      </c>
      <c r="D37" s="91">
        <v>9886895897</v>
      </c>
      <c r="E37" s="80" t="s">
        <v>414</v>
      </c>
      <c r="F37" s="92" t="s">
        <v>415</v>
      </c>
      <c r="G37" s="92">
        <v>9945048004</v>
      </c>
      <c r="H37" s="81" t="s">
        <v>417</v>
      </c>
      <c r="I37" s="93"/>
      <c r="J37" s="93"/>
      <c r="K37" s="93"/>
      <c r="L37" s="94"/>
      <c r="M37" s="94"/>
      <c r="N37" s="94"/>
      <c r="O37" s="95"/>
      <c r="P37" s="95"/>
      <c r="Q37" s="95"/>
      <c r="R37" s="95"/>
      <c r="S37" s="96"/>
      <c r="T37" s="96"/>
      <c r="U37" s="96"/>
      <c r="V37" s="96"/>
      <c r="W37" s="96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</row>
    <row r="38" spans="1:39" x14ac:dyDescent="0.2">
      <c r="A38" s="61">
        <v>37</v>
      </c>
      <c r="B38" s="233" t="s">
        <v>418</v>
      </c>
      <c r="C38" s="64" t="s">
        <v>419</v>
      </c>
      <c r="D38" s="64"/>
      <c r="E38" s="152" t="s">
        <v>421</v>
      </c>
      <c r="F38" s="99" t="s">
        <v>422</v>
      </c>
      <c r="G38" s="66">
        <v>9916173449</v>
      </c>
      <c r="H38" s="123" t="s">
        <v>423</v>
      </c>
      <c r="I38" s="68" t="s">
        <v>424</v>
      </c>
      <c r="J38" s="68"/>
      <c r="K38" s="127" t="s">
        <v>425</v>
      </c>
      <c r="L38" s="70" t="s">
        <v>426</v>
      </c>
      <c r="M38" s="70">
        <v>9886637542</v>
      </c>
      <c r="N38" s="71" t="s">
        <v>427</v>
      </c>
      <c r="O38" s="72" t="s">
        <v>428</v>
      </c>
      <c r="P38" s="72" t="s">
        <v>429</v>
      </c>
      <c r="Q38" s="72">
        <v>9980377554</v>
      </c>
      <c r="R38" s="121" t="s">
        <v>430</v>
      </c>
      <c r="S38" s="75"/>
      <c r="T38" s="75"/>
      <c r="U38" s="75"/>
      <c r="V38" s="75"/>
      <c r="W38" s="75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8"/>
    </row>
    <row r="39" spans="1:39" x14ac:dyDescent="0.2">
      <c r="A39" s="61">
        <v>38</v>
      </c>
      <c r="B39" s="62" t="s">
        <v>431</v>
      </c>
      <c r="C39" s="101" t="s">
        <v>432</v>
      </c>
      <c r="D39" s="101">
        <v>8042212000</v>
      </c>
      <c r="E39" s="153"/>
      <c r="F39" s="102" t="s">
        <v>433</v>
      </c>
      <c r="G39" s="102">
        <v>9986724241</v>
      </c>
      <c r="H39" s="103" t="s">
        <v>434</v>
      </c>
      <c r="I39" s="104" t="s">
        <v>435</v>
      </c>
      <c r="J39" s="104">
        <v>9972001131</v>
      </c>
      <c r="K39" s="69" t="s">
        <v>436</v>
      </c>
      <c r="L39" s="105"/>
      <c r="M39" s="105"/>
      <c r="N39" s="154"/>
      <c r="O39" s="106"/>
      <c r="P39" s="106"/>
      <c r="Q39" s="106"/>
      <c r="R39" s="106"/>
      <c r="S39" s="107"/>
      <c r="T39" s="107"/>
      <c r="U39" s="107"/>
      <c r="V39" s="107"/>
      <c r="W39" s="107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</row>
    <row r="40" spans="1:39" x14ac:dyDescent="0.2">
      <c r="A40" s="61">
        <v>39</v>
      </c>
      <c r="B40" s="249" t="s">
        <v>437</v>
      </c>
      <c r="C40" s="64"/>
      <c r="D40" s="64"/>
      <c r="E40" s="113"/>
      <c r="F40" s="99" t="s">
        <v>438</v>
      </c>
      <c r="G40" s="99">
        <v>9790968779</v>
      </c>
      <c r="H40" s="81" t="s">
        <v>440</v>
      </c>
      <c r="I40" s="68" t="s">
        <v>441</v>
      </c>
      <c r="J40" s="68">
        <v>9177593031</v>
      </c>
      <c r="K40" s="69" t="s">
        <v>443</v>
      </c>
      <c r="L40" s="70" t="s">
        <v>324</v>
      </c>
      <c r="M40" s="87"/>
      <c r="N40" s="70"/>
      <c r="O40" s="72"/>
      <c r="P40" s="72"/>
      <c r="Q40" s="72"/>
      <c r="R40" s="72"/>
      <c r="S40" s="75"/>
      <c r="T40" s="75"/>
      <c r="U40" s="75"/>
      <c r="V40" s="75"/>
      <c r="W40" s="75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8"/>
    </row>
    <row r="41" spans="1:39" x14ac:dyDescent="0.2">
      <c r="A41" s="61">
        <v>40</v>
      </c>
      <c r="B41" s="97" t="s">
        <v>60</v>
      </c>
      <c r="C41" s="91" t="s">
        <v>444</v>
      </c>
      <c r="D41" s="91">
        <v>9741577007</v>
      </c>
      <c r="E41" s="80" t="s">
        <v>446</v>
      </c>
      <c r="F41" s="92" t="s">
        <v>447</v>
      </c>
      <c r="G41" s="92">
        <v>9538369222</v>
      </c>
      <c r="H41" s="81" t="s">
        <v>449</v>
      </c>
      <c r="I41" s="93"/>
      <c r="J41" s="93"/>
      <c r="K41" s="93"/>
      <c r="L41" s="94"/>
      <c r="M41" s="94"/>
      <c r="N41" s="94"/>
      <c r="O41" s="95"/>
      <c r="P41" s="95"/>
      <c r="Q41" s="95"/>
      <c r="R41" s="95"/>
      <c r="S41" s="96"/>
      <c r="T41" s="96"/>
      <c r="U41" s="96"/>
      <c r="V41" s="96"/>
      <c r="W41" s="96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</row>
    <row r="42" spans="1:39" x14ac:dyDescent="0.2">
      <c r="A42" s="61">
        <v>41</v>
      </c>
      <c r="B42" s="233" t="s">
        <v>450</v>
      </c>
      <c r="C42" s="64" t="s">
        <v>451</v>
      </c>
      <c r="D42" s="155">
        <v>9900569066</v>
      </c>
      <c r="E42" s="80" t="s">
        <v>453</v>
      </c>
      <c r="F42" s="156" t="s">
        <v>454</v>
      </c>
      <c r="G42" s="156">
        <v>9845543389</v>
      </c>
      <c r="H42" s="157" t="s">
        <v>455</v>
      </c>
      <c r="I42" s="68" t="s">
        <v>456</v>
      </c>
      <c r="J42" s="68"/>
      <c r="K42" s="68"/>
      <c r="L42" s="70"/>
      <c r="M42" s="70"/>
      <c r="N42" s="70"/>
      <c r="O42" s="72"/>
      <c r="P42" s="72"/>
      <c r="Q42" s="72"/>
      <c r="R42" s="72"/>
      <c r="S42" s="75"/>
      <c r="T42" s="75"/>
      <c r="U42" s="75"/>
      <c r="V42" s="75"/>
      <c r="W42" s="75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8"/>
    </row>
    <row r="43" spans="1:39" x14ac:dyDescent="0.2">
      <c r="A43" s="61">
        <v>42</v>
      </c>
      <c r="B43" s="236" t="s">
        <v>63</v>
      </c>
      <c r="C43" s="64" t="s">
        <v>64</v>
      </c>
      <c r="D43" s="64">
        <v>9845212809</v>
      </c>
      <c r="E43" s="65" t="s">
        <v>458</v>
      </c>
      <c r="F43" s="99" t="s">
        <v>459</v>
      </c>
      <c r="G43" s="99">
        <v>9845024513</v>
      </c>
      <c r="H43" s="81" t="s">
        <v>460</v>
      </c>
      <c r="I43" s="68"/>
      <c r="J43" s="68"/>
      <c r="K43" s="68"/>
      <c r="L43" s="70"/>
      <c r="M43" s="70"/>
      <c r="N43" s="70"/>
      <c r="O43" s="72"/>
      <c r="P43" s="72"/>
      <c r="Q43" s="72"/>
      <c r="R43" s="72"/>
      <c r="S43" s="75"/>
      <c r="T43" s="75"/>
      <c r="U43" s="75"/>
      <c r="V43" s="75"/>
      <c r="W43" s="75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8"/>
    </row>
    <row r="44" spans="1:39" x14ac:dyDescent="0.2">
      <c r="A44" s="61">
        <v>43</v>
      </c>
      <c r="B44" s="62" t="s">
        <v>461</v>
      </c>
      <c r="C44" s="64" t="s">
        <v>462</v>
      </c>
      <c r="D44" s="64">
        <v>9900411113</v>
      </c>
      <c r="E44" s="113"/>
      <c r="F44" s="66"/>
      <c r="G44" s="66"/>
      <c r="H44" s="123"/>
      <c r="I44" s="68"/>
      <c r="J44" s="68"/>
      <c r="K44" s="127"/>
      <c r="L44" s="71" t="s">
        <v>1418</v>
      </c>
      <c r="M44" s="70"/>
      <c r="N44" s="129"/>
      <c r="O44" s="72"/>
      <c r="P44" s="72"/>
      <c r="Q44" s="72"/>
      <c r="R44" s="121"/>
      <c r="S44" s="75"/>
      <c r="T44" s="75"/>
      <c r="U44" s="75"/>
      <c r="V44" s="75"/>
      <c r="W44" s="75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8"/>
    </row>
    <row r="45" spans="1:39" x14ac:dyDescent="0.2">
      <c r="A45" s="61">
        <v>44</v>
      </c>
      <c r="B45" s="236" t="s">
        <v>463</v>
      </c>
      <c r="C45" s="91" t="s">
        <v>464</v>
      </c>
      <c r="D45" s="91">
        <v>9845012805</v>
      </c>
      <c r="E45" s="91"/>
      <c r="F45" s="92"/>
      <c r="G45" s="92"/>
      <c r="H45" s="92"/>
      <c r="I45" s="93"/>
      <c r="J45" s="93"/>
      <c r="K45" s="93"/>
      <c r="L45" s="94"/>
      <c r="M45" s="94"/>
      <c r="N45" s="94"/>
      <c r="O45" s="95"/>
      <c r="P45" s="95"/>
      <c r="Q45" s="95"/>
      <c r="R45" s="95"/>
      <c r="S45" s="96"/>
      <c r="T45" s="96"/>
      <c r="U45" s="96"/>
      <c r="V45" s="96"/>
      <c r="W45" s="96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</row>
    <row r="46" spans="1:39" x14ac:dyDescent="0.2">
      <c r="A46" s="61">
        <v>45</v>
      </c>
      <c r="B46" s="62" t="s">
        <v>465</v>
      </c>
      <c r="C46" s="91" t="s">
        <v>466</v>
      </c>
      <c r="D46" s="91">
        <v>30038301</v>
      </c>
      <c r="E46" s="80" t="s">
        <v>467</v>
      </c>
      <c r="F46" s="92" t="s">
        <v>468</v>
      </c>
      <c r="G46" s="92">
        <v>8722400040</v>
      </c>
      <c r="H46" s="81" t="s">
        <v>470</v>
      </c>
      <c r="I46" s="93"/>
      <c r="J46" s="93"/>
      <c r="K46" s="93"/>
      <c r="L46" s="94"/>
      <c r="M46" s="94"/>
      <c r="N46" s="94"/>
      <c r="O46" s="95"/>
      <c r="P46" s="95"/>
      <c r="Q46" s="95"/>
      <c r="R46" s="95"/>
      <c r="S46" s="96"/>
      <c r="T46" s="96"/>
      <c r="U46" s="96"/>
      <c r="V46" s="96"/>
      <c r="W46" s="96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</row>
    <row r="47" spans="1:39" x14ac:dyDescent="0.2">
      <c r="A47" s="61">
        <v>46</v>
      </c>
      <c r="B47" s="236" t="s">
        <v>68</v>
      </c>
      <c r="C47" s="91" t="s">
        <v>69</v>
      </c>
      <c r="D47" s="91">
        <v>9740522292</v>
      </c>
      <c r="E47" s="80" t="s">
        <v>471</v>
      </c>
      <c r="F47" s="92" t="s">
        <v>472</v>
      </c>
      <c r="G47" s="92">
        <v>4442246004</v>
      </c>
      <c r="H47" s="81" t="s">
        <v>473</v>
      </c>
      <c r="I47" s="93"/>
      <c r="J47" s="93"/>
      <c r="K47" s="93"/>
      <c r="L47" s="94"/>
      <c r="M47" s="94"/>
      <c r="N47" s="94"/>
      <c r="O47" s="95"/>
      <c r="P47" s="95"/>
      <c r="Q47" s="95"/>
      <c r="R47" s="95"/>
      <c r="S47" s="96"/>
      <c r="T47" s="96"/>
      <c r="U47" s="96"/>
      <c r="V47" s="96"/>
      <c r="W47" s="96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</row>
    <row r="48" spans="1:39" x14ac:dyDescent="0.2">
      <c r="A48" s="61">
        <v>47</v>
      </c>
      <c r="B48" s="233" t="s">
        <v>474</v>
      </c>
      <c r="C48" s="64" t="s">
        <v>475</v>
      </c>
      <c r="D48" s="64">
        <v>9840158535</v>
      </c>
      <c r="E48" s="65" t="s">
        <v>477</v>
      </c>
      <c r="F48" s="99" t="s">
        <v>478</v>
      </c>
      <c r="G48" s="67">
        <v>9880151830</v>
      </c>
      <c r="H48" s="123" t="s">
        <v>480</v>
      </c>
      <c r="I48" s="68" t="s">
        <v>481</v>
      </c>
      <c r="J48" s="68">
        <v>9952960977</v>
      </c>
      <c r="K48" s="69" t="s">
        <v>482</v>
      </c>
      <c r="L48" s="70"/>
      <c r="M48" s="70"/>
      <c r="N48" s="70"/>
      <c r="O48" s="72"/>
      <c r="P48" s="72"/>
      <c r="Q48" s="72"/>
      <c r="R48" s="72"/>
      <c r="S48" s="75"/>
      <c r="T48" s="75"/>
      <c r="U48" s="75"/>
      <c r="V48" s="75"/>
      <c r="W48" s="75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8"/>
    </row>
    <row r="49" spans="1:39" x14ac:dyDescent="0.2">
      <c r="A49" s="61">
        <v>48</v>
      </c>
      <c r="B49" s="236" t="s">
        <v>71</v>
      </c>
      <c r="C49" s="64" t="s">
        <v>483</v>
      </c>
      <c r="D49" s="64">
        <v>9886370029</v>
      </c>
      <c r="E49" s="80" t="s">
        <v>484</v>
      </c>
      <c r="F49" s="92"/>
      <c r="G49" s="92"/>
      <c r="H49" s="92"/>
      <c r="I49" s="93"/>
      <c r="J49" s="93"/>
      <c r="K49" s="93"/>
      <c r="L49" s="94"/>
      <c r="M49" s="94"/>
      <c r="N49" s="94"/>
      <c r="O49" s="95"/>
      <c r="P49" s="95"/>
      <c r="Q49" s="95"/>
      <c r="R49" s="95"/>
      <c r="S49" s="96"/>
      <c r="T49" s="96"/>
      <c r="U49" s="96"/>
      <c r="V49" s="96"/>
      <c r="W49" s="96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</row>
    <row r="50" spans="1:39" ht="15" customHeight="1" x14ac:dyDescent="0.2">
      <c r="A50" s="61">
        <v>49</v>
      </c>
      <c r="B50" s="245" t="s">
        <v>485</v>
      </c>
      <c r="C50" s="158" t="s">
        <v>486</v>
      </c>
      <c r="D50" s="158" t="s">
        <v>488</v>
      </c>
      <c r="E50" s="159" t="s">
        <v>489</v>
      </c>
      <c r="F50" s="160" t="s">
        <v>490</v>
      </c>
      <c r="G50" s="160"/>
      <c r="H50" s="161" t="s">
        <v>491</v>
      </c>
      <c r="I50" s="162" t="s">
        <v>492</v>
      </c>
      <c r="J50" s="162">
        <v>9845133978</v>
      </c>
      <c r="K50" s="163" t="s">
        <v>494</v>
      </c>
      <c r="L50" s="164" t="s">
        <v>495</v>
      </c>
      <c r="M50" s="164">
        <v>9900260087</v>
      </c>
      <c r="N50" s="165" t="s">
        <v>496</v>
      </c>
      <c r="O50" s="166" t="s">
        <v>497</v>
      </c>
      <c r="P50" s="166" t="s">
        <v>498</v>
      </c>
      <c r="Q50" s="106">
        <v>9035091115</v>
      </c>
      <c r="R50" s="106" t="s">
        <v>499</v>
      </c>
      <c r="S50" s="107"/>
      <c r="T50" s="107"/>
      <c r="U50" s="107"/>
      <c r="V50" s="107"/>
      <c r="W50" s="107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</row>
    <row r="51" spans="1:39" x14ac:dyDescent="0.2">
      <c r="A51" s="61">
        <v>50</v>
      </c>
      <c r="B51" s="62" t="s">
        <v>500</v>
      </c>
      <c r="C51" s="64" t="s">
        <v>502</v>
      </c>
      <c r="D51" s="64">
        <v>9945280407</v>
      </c>
      <c r="E51" s="80" t="s">
        <v>503</v>
      </c>
      <c r="F51" s="99" t="s">
        <v>504</v>
      </c>
      <c r="G51" s="99">
        <v>9844535983</v>
      </c>
      <c r="H51" s="99"/>
      <c r="I51" s="68"/>
      <c r="J51" s="68"/>
      <c r="K51" s="68"/>
      <c r="L51" s="70"/>
      <c r="M51" s="70"/>
      <c r="N51" s="70"/>
      <c r="O51" s="72"/>
      <c r="P51" s="72"/>
      <c r="Q51" s="72"/>
      <c r="R51" s="72"/>
      <c r="S51" s="75"/>
      <c r="T51" s="75"/>
      <c r="U51" s="75"/>
      <c r="V51" s="75"/>
      <c r="W51" s="75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 spans="1:39" x14ac:dyDescent="0.2">
      <c r="A52" s="61">
        <v>51</v>
      </c>
      <c r="B52" s="233" t="s">
        <v>506</v>
      </c>
      <c r="C52" s="64" t="s">
        <v>508</v>
      </c>
      <c r="D52" s="109">
        <v>9632433133</v>
      </c>
      <c r="E52" s="80" t="s">
        <v>509</v>
      </c>
      <c r="F52" s="110" t="s">
        <v>510</v>
      </c>
      <c r="G52" s="110">
        <v>7760686286</v>
      </c>
      <c r="H52" s="110"/>
      <c r="I52" s="111" t="s">
        <v>512</v>
      </c>
      <c r="J52" s="111">
        <v>9886396791</v>
      </c>
      <c r="K52" s="111"/>
      <c r="L52" s="112"/>
      <c r="M52" s="112"/>
      <c r="N52" s="112"/>
      <c r="O52" s="88"/>
      <c r="P52" s="88"/>
      <c r="Q52" s="88"/>
      <c r="R52" s="88"/>
      <c r="S52" s="90"/>
      <c r="T52" s="90"/>
      <c r="U52" s="90"/>
      <c r="V52" s="90"/>
      <c r="W52" s="90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</row>
    <row r="53" spans="1:39" x14ac:dyDescent="0.2">
      <c r="A53" s="61">
        <v>52</v>
      </c>
      <c r="B53" s="62" t="s">
        <v>514</v>
      </c>
      <c r="C53" s="64" t="s">
        <v>515</v>
      </c>
      <c r="D53" s="64">
        <v>9845446609</v>
      </c>
      <c r="E53" s="80" t="s">
        <v>517</v>
      </c>
      <c r="F53" s="99"/>
      <c r="G53" s="99"/>
      <c r="H53" s="99"/>
      <c r="I53" s="68"/>
      <c r="J53" s="68"/>
      <c r="K53" s="68"/>
      <c r="L53" s="70"/>
      <c r="M53" s="70"/>
      <c r="N53" s="70"/>
      <c r="O53" s="72"/>
      <c r="P53" s="72"/>
      <c r="Q53" s="72"/>
      <c r="R53" s="72"/>
      <c r="S53" s="75"/>
      <c r="T53" s="75"/>
      <c r="U53" s="75"/>
      <c r="V53" s="75"/>
      <c r="W53" s="75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8"/>
    </row>
    <row r="54" spans="1:39" x14ac:dyDescent="0.2">
      <c r="A54" s="61">
        <v>53</v>
      </c>
      <c r="B54" s="62" t="s">
        <v>518</v>
      </c>
      <c r="C54" s="64" t="s">
        <v>519</v>
      </c>
      <c r="D54" s="64">
        <v>9886209383</v>
      </c>
      <c r="E54" s="80" t="s">
        <v>520</v>
      </c>
      <c r="F54" s="110" t="s">
        <v>521</v>
      </c>
      <c r="G54" s="110">
        <v>9008199700</v>
      </c>
      <c r="H54" s="81" t="s">
        <v>523</v>
      </c>
      <c r="I54" s="114"/>
      <c r="J54" s="111"/>
      <c r="K54" s="111"/>
      <c r="L54" s="112"/>
      <c r="M54" s="112"/>
      <c r="N54" s="112"/>
      <c r="O54" s="88"/>
      <c r="P54" s="88"/>
      <c r="Q54" s="88"/>
      <c r="R54" s="88"/>
      <c r="S54" s="90"/>
      <c r="T54" s="90"/>
      <c r="U54" s="90"/>
      <c r="V54" s="90"/>
      <c r="W54" s="90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</row>
    <row r="55" spans="1:39" x14ac:dyDescent="0.2">
      <c r="A55" s="61">
        <v>54</v>
      </c>
      <c r="B55" s="97" t="s">
        <v>88</v>
      </c>
      <c r="C55" s="64" t="s">
        <v>524</v>
      </c>
      <c r="D55" s="64">
        <v>9845971792</v>
      </c>
      <c r="E55" s="113" t="s">
        <v>525</v>
      </c>
      <c r="F55" s="99" t="s">
        <v>526</v>
      </c>
      <c r="G55" s="99">
        <v>9949497876</v>
      </c>
      <c r="H55" s="123" t="s">
        <v>527</v>
      </c>
      <c r="I55" s="68" t="s">
        <v>89</v>
      </c>
      <c r="J55" s="68">
        <v>9886640333</v>
      </c>
      <c r="K55" s="69" t="s">
        <v>528</v>
      </c>
      <c r="L55" s="70"/>
      <c r="M55" s="70"/>
      <c r="N55" s="70"/>
      <c r="O55" s="72"/>
      <c r="P55" s="72"/>
      <c r="Q55" s="72"/>
      <c r="R55" s="72"/>
      <c r="S55" s="75"/>
      <c r="T55" s="75"/>
      <c r="U55" s="75"/>
      <c r="V55" s="75"/>
      <c r="W55" s="90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</row>
    <row r="56" spans="1:39" x14ac:dyDescent="0.2">
      <c r="A56" s="61">
        <v>55</v>
      </c>
      <c r="B56" s="233" t="s">
        <v>529</v>
      </c>
      <c r="C56" s="91" t="s">
        <v>530</v>
      </c>
      <c r="D56" s="91">
        <v>8043233704</v>
      </c>
      <c r="E56" s="80" t="s">
        <v>531</v>
      </c>
      <c r="F56" s="92"/>
      <c r="G56" s="92"/>
      <c r="H56" s="92"/>
      <c r="I56" s="93"/>
      <c r="J56" s="93"/>
      <c r="K56" s="93"/>
      <c r="L56" s="94"/>
      <c r="M56" s="94"/>
      <c r="N56" s="94"/>
      <c r="O56" s="95"/>
      <c r="P56" s="95"/>
      <c r="Q56" s="95"/>
      <c r="R56" s="95"/>
      <c r="S56" s="96"/>
      <c r="T56" s="96"/>
      <c r="U56" s="96"/>
      <c r="V56" s="96"/>
      <c r="W56" s="96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</row>
    <row r="57" spans="1:39" x14ac:dyDescent="0.2">
      <c r="A57" s="61">
        <v>56</v>
      </c>
      <c r="B57" s="249" t="s">
        <v>532</v>
      </c>
      <c r="C57" s="395" t="s">
        <v>533</v>
      </c>
      <c r="D57" s="79">
        <v>9686862477</v>
      </c>
      <c r="E57" s="167" t="s">
        <v>534</v>
      </c>
      <c r="F57" s="99"/>
      <c r="G57" s="123"/>
      <c r="H57" s="99"/>
      <c r="I57" s="82"/>
      <c r="J57" s="82"/>
      <c r="K57" s="168"/>
      <c r="L57" s="87"/>
      <c r="M57" s="87"/>
      <c r="N57" s="87"/>
      <c r="O57" s="72"/>
      <c r="P57" s="72"/>
      <c r="Q57" s="72"/>
      <c r="R57" s="72"/>
      <c r="S57" s="75"/>
      <c r="T57" s="75"/>
      <c r="U57" s="75"/>
      <c r="V57" s="75"/>
      <c r="W57" s="75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8"/>
    </row>
    <row r="58" spans="1:39" x14ac:dyDescent="0.2">
      <c r="A58" s="61">
        <v>57</v>
      </c>
      <c r="B58" s="233" t="s">
        <v>535</v>
      </c>
      <c r="C58" s="64" t="s">
        <v>536</v>
      </c>
      <c r="D58" s="64">
        <v>9611000066</v>
      </c>
      <c r="E58" s="65" t="s">
        <v>538</v>
      </c>
      <c r="F58" s="66" t="s">
        <v>539</v>
      </c>
      <c r="G58" s="66">
        <v>9972133495</v>
      </c>
      <c r="H58" s="136" t="s">
        <v>540</v>
      </c>
      <c r="I58" s="68"/>
      <c r="J58" s="68"/>
      <c r="K58" s="68"/>
      <c r="L58" s="70"/>
      <c r="M58" s="70"/>
      <c r="N58" s="70"/>
      <c r="O58" s="72"/>
      <c r="P58" s="72"/>
      <c r="Q58" s="72"/>
      <c r="R58" s="72"/>
      <c r="S58" s="75"/>
      <c r="T58" s="75"/>
      <c r="U58" s="75"/>
      <c r="V58" s="75"/>
      <c r="W58" s="75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8"/>
    </row>
    <row r="59" spans="1:39" x14ac:dyDescent="0.2">
      <c r="A59" s="61">
        <v>58</v>
      </c>
      <c r="B59" s="233" t="s">
        <v>541</v>
      </c>
      <c r="C59" s="132" t="s">
        <v>543</v>
      </c>
      <c r="D59" s="132">
        <v>8861615555</v>
      </c>
      <c r="E59" s="169" t="s">
        <v>544</v>
      </c>
      <c r="F59" s="147" t="s">
        <v>545</v>
      </c>
      <c r="G59" s="147">
        <v>9535844995</v>
      </c>
      <c r="H59" s="170" t="s">
        <v>547</v>
      </c>
      <c r="I59" s="68" t="s">
        <v>548</v>
      </c>
      <c r="J59" s="68">
        <v>9611878641</v>
      </c>
      <c r="K59" s="127" t="s">
        <v>549</v>
      </c>
      <c r="L59" s="72"/>
      <c r="M59" s="72">
        <v>9972133495</v>
      </c>
      <c r="N59" s="121" t="s">
        <v>540</v>
      </c>
      <c r="O59" s="75" t="s">
        <v>550</v>
      </c>
      <c r="P59" s="75" t="s">
        <v>551</v>
      </c>
      <c r="Q59" s="75">
        <v>8147719803</v>
      </c>
      <c r="R59" s="138" t="s">
        <v>552</v>
      </c>
      <c r="S59" s="171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</row>
    <row r="60" spans="1:39" x14ac:dyDescent="0.2">
      <c r="A60" s="61">
        <v>59</v>
      </c>
      <c r="B60" s="62" t="s">
        <v>553</v>
      </c>
      <c r="C60" s="64" t="s">
        <v>554</v>
      </c>
      <c r="D60" s="64" t="s">
        <v>556</v>
      </c>
      <c r="E60" s="80" t="s">
        <v>557</v>
      </c>
      <c r="F60" s="66" t="s">
        <v>558</v>
      </c>
      <c r="G60" s="66" t="s">
        <v>559</v>
      </c>
      <c r="H60" s="66"/>
      <c r="I60" s="68"/>
      <c r="J60" s="68"/>
      <c r="K60" s="68"/>
      <c r="L60" s="70"/>
      <c r="M60" s="70"/>
      <c r="N60" s="70"/>
      <c r="O60" s="72"/>
      <c r="P60" s="72"/>
      <c r="Q60" s="72"/>
      <c r="R60" s="72"/>
      <c r="S60" s="75"/>
      <c r="T60" s="75"/>
      <c r="U60" s="75"/>
      <c r="V60" s="75"/>
      <c r="W60" s="90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</row>
    <row r="61" spans="1:39" x14ac:dyDescent="0.2">
      <c r="A61" s="61">
        <v>60</v>
      </c>
      <c r="B61" s="62" t="s">
        <v>560</v>
      </c>
      <c r="C61" s="91" t="s">
        <v>561</v>
      </c>
      <c r="D61" s="91">
        <v>9986307314</v>
      </c>
      <c r="E61" s="80" t="s">
        <v>562</v>
      </c>
      <c r="F61" s="92" t="s">
        <v>563</v>
      </c>
      <c r="G61" s="92">
        <v>9880105102</v>
      </c>
      <c r="H61" s="81" t="s">
        <v>564</v>
      </c>
      <c r="I61" s="93"/>
      <c r="J61" s="93"/>
      <c r="K61" s="93"/>
      <c r="L61" s="94"/>
      <c r="M61" s="94"/>
      <c r="N61" s="94"/>
      <c r="O61" s="95"/>
      <c r="P61" s="95"/>
      <c r="Q61" s="95"/>
      <c r="R61" s="95"/>
      <c r="S61" s="96"/>
      <c r="T61" s="96"/>
      <c r="U61" s="96"/>
      <c r="V61" s="96"/>
      <c r="W61" s="96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</row>
    <row r="62" spans="1:39" x14ac:dyDescent="0.2">
      <c r="A62" s="229">
        <v>61</v>
      </c>
      <c r="B62" s="62" t="s">
        <v>565</v>
      </c>
      <c r="C62" s="78" t="s">
        <v>566</v>
      </c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</row>
    <row r="63" spans="1:39" x14ac:dyDescent="0.2">
      <c r="A63" s="78">
        <v>62</v>
      </c>
      <c r="B63" s="62" t="s">
        <v>567</v>
      </c>
      <c r="C63" s="78" t="s">
        <v>568</v>
      </c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</row>
    <row r="64" spans="1:39" ht="15" customHeight="1" x14ac:dyDescent="0.2">
      <c r="A64" s="229">
        <v>63</v>
      </c>
      <c r="B64" s="232" t="s">
        <v>569</v>
      </c>
      <c r="C64" s="174" t="s">
        <v>570</v>
      </c>
      <c r="D64" s="175"/>
      <c r="E64" s="176" t="s">
        <v>572</v>
      </c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78"/>
    </row>
    <row r="65" spans="1:23" ht="15" customHeight="1" x14ac:dyDescent="0.2">
      <c r="A65" s="78">
        <v>64</v>
      </c>
      <c r="B65" s="252" t="s">
        <v>573</v>
      </c>
      <c r="C65" s="177" t="s">
        <v>574</v>
      </c>
      <c r="D65" s="177" t="s">
        <v>576</v>
      </c>
      <c r="E65" s="80" t="s">
        <v>577</v>
      </c>
      <c r="F65" s="178" t="s">
        <v>578</v>
      </c>
      <c r="G65" s="178">
        <v>9900023579</v>
      </c>
      <c r="H65" s="179" t="s">
        <v>580</v>
      </c>
      <c r="I65" s="82" t="s">
        <v>581</v>
      </c>
      <c r="J65" s="180">
        <v>7259281122</v>
      </c>
      <c r="K65" s="181" t="s">
        <v>583</v>
      </c>
      <c r="L65" s="182"/>
      <c r="M65" s="182"/>
      <c r="N65" s="182"/>
      <c r="O65" s="183"/>
      <c r="P65" s="183"/>
      <c r="Q65" s="183"/>
      <c r="R65" s="183"/>
      <c r="S65" s="184"/>
      <c r="T65" s="184"/>
      <c r="U65" s="184"/>
      <c r="V65" s="184"/>
      <c r="W65" s="78"/>
    </row>
    <row r="66" spans="1:23" ht="15" customHeight="1" x14ac:dyDescent="0.2">
      <c r="A66" s="229">
        <v>65</v>
      </c>
      <c r="B66" s="253" t="s">
        <v>80</v>
      </c>
      <c r="C66" s="186" t="s">
        <v>81</v>
      </c>
      <c r="D66" s="187">
        <v>9980044525</v>
      </c>
      <c r="E66" s="188" t="s">
        <v>584</v>
      </c>
      <c r="F66" s="189" t="s">
        <v>585</v>
      </c>
      <c r="G66" s="189">
        <v>8042182194</v>
      </c>
      <c r="H66" s="189" t="s">
        <v>586</v>
      </c>
      <c r="I66" s="190" t="s">
        <v>587</v>
      </c>
      <c r="J66" s="190">
        <v>9741985373</v>
      </c>
      <c r="K66" s="190"/>
      <c r="L66" s="191" t="s">
        <v>589</v>
      </c>
      <c r="M66" s="191">
        <v>9880599314</v>
      </c>
      <c r="N66" s="191"/>
      <c r="O66" s="192"/>
      <c r="P66" s="192"/>
      <c r="Q66" s="192"/>
      <c r="R66" s="192"/>
      <c r="S66" s="193"/>
      <c r="T66" s="193"/>
      <c r="U66" s="193"/>
      <c r="V66" s="193"/>
      <c r="W66" s="78"/>
    </row>
    <row r="67" spans="1:23" ht="15" customHeight="1" x14ac:dyDescent="0.2">
      <c r="A67" s="78">
        <v>66</v>
      </c>
      <c r="B67" s="246" t="s">
        <v>24</v>
      </c>
      <c r="C67" s="195" t="s">
        <v>25</v>
      </c>
      <c r="D67" s="132">
        <v>9632005724</v>
      </c>
      <c r="E67" s="196" t="s">
        <v>590</v>
      </c>
      <c r="F67" s="197"/>
      <c r="G67" s="198"/>
      <c r="H67" s="199"/>
      <c r="I67" s="200"/>
      <c r="J67" s="200"/>
      <c r="K67" s="200"/>
      <c r="L67" s="201"/>
      <c r="M67" s="201"/>
      <c r="N67" s="201"/>
      <c r="O67" s="173"/>
      <c r="P67" s="173"/>
      <c r="Q67" s="173"/>
      <c r="R67" s="173"/>
      <c r="S67" s="173"/>
      <c r="T67" s="231"/>
      <c r="U67" s="231"/>
      <c r="V67" s="231"/>
      <c r="W67" s="78"/>
    </row>
    <row r="68" spans="1:23" ht="15" customHeight="1" x14ac:dyDescent="0.2">
      <c r="A68" s="229">
        <v>67</v>
      </c>
      <c r="B68" s="232" t="s">
        <v>76</v>
      </c>
      <c r="C68" s="202" t="s">
        <v>591</v>
      </c>
      <c r="D68" s="202">
        <v>9980166408</v>
      </c>
      <c r="E68" s="203" t="s">
        <v>592</v>
      </c>
      <c r="F68" s="204" t="s">
        <v>77</v>
      </c>
      <c r="G68" s="205">
        <v>9880044536</v>
      </c>
      <c r="H68" s="206" t="s">
        <v>593</v>
      </c>
      <c r="I68" s="207" t="s">
        <v>594</v>
      </c>
      <c r="J68" s="207">
        <v>9945233661</v>
      </c>
      <c r="K68" s="208" t="s">
        <v>593</v>
      </c>
      <c r="L68" s="209" t="s">
        <v>595</v>
      </c>
      <c r="M68" s="209" t="s">
        <v>597</v>
      </c>
      <c r="N68" s="210" t="s">
        <v>598</v>
      </c>
      <c r="O68" s="211"/>
      <c r="P68" s="211"/>
      <c r="Q68" s="211"/>
      <c r="R68" s="211"/>
      <c r="S68" s="212"/>
      <c r="T68" s="212"/>
      <c r="U68" s="212"/>
      <c r="V68" s="212"/>
      <c r="W68" s="184"/>
    </row>
    <row r="69" spans="1:23" ht="15" customHeight="1" x14ac:dyDescent="0.2">
      <c r="A69" s="78">
        <v>68</v>
      </c>
      <c r="B69" s="84" t="s">
        <v>78</v>
      </c>
      <c r="C69" s="177" t="s">
        <v>599</v>
      </c>
      <c r="D69" s="79">
        <v>9845042229</v>
      </c>
      <c r="E69" s="109"/>
      <c r="F69" s="213" t="s">
        <v>79</v>
      </c>
      <c r="G69" s="213">
        <v>9916141345</v>
      </c>
      <c r="H69" s="179" t="s">
        <v>601</v>
      </c>
      <c r="I69" s="82" t="s">
        <v>602</v>
      </c>
      <c r="J69" s="180"/>
      <c r="K69" s="180"/>
      <c r="L69" s="182"/>
      <c r="M69" s="182"/>
      <c r="N69" s="182"/>
      <c r="O69" s="214"/>
      <c r="P69" s="214"/>
      <c r="Q69" s="214"/>
      <c r="R69" s="214"/>
      <c r="S69" s="184"/>
      <c r="T69" s="184"/>
      <c r="U69" s="184"/>
      <c r="V69" s="184"/>
      <c r="W69" s="215"/>
    </row>
    <row r="70" spans="1:23" ht="15" customHeight="1" x14ac:dyDescent="0.2">
      <c r="A70" s="229">
        <v>69</v>
      </c>
      <c r="B70" s="254" t="s">
        <v>83</v>
      </c>
      <c r="C70" s="174" t="s">
        <v>84</v>
      </c>
      <c r="D70" s="216">
        <v>9845150181</v>
      </c>
      <c r="E70" s="217" t="s">
        <v>603</v>
      </c>
      <c r="F70" s="204" t="s">
        <v>587</v>
      </c>
      <c r="G70" s="204">
        <v>9741985373</v>
      </c>
      <c r="H70" s="218" t="s">
        <v>605</v>
      </c>
      <c r="I70" s="219" t="s">
        <v>606</v>
      </c>
      <c r="J70" s="219">
        <v>9742111020</v>
      </c>
      <c r="K70" s="220" t="s">
        <v>607</v>
      </c>
      <c r="L70" s="221" t="s">
        <v>608</v>
      </c>
      <c r="M70" s="221">
        <v>8861486444</v>
      </c>
      <c r="N70" s="222" t="s">
        <v>609</v>
      </c>
      <c r="O70" s="214" t="s">
        <v>610</v>
      </c>
      <c r="P70" s="214" t="s">
        <v>416</v>
      </c>
      <c r="Q70" s="214">
        <v>9886623421</v>
      </c>
      <c r="R70" s="214"/>
      <c r="S70" s="215"/>
      <c r="T70" s="215"/>
      <c r="U70" s="215"/>
      <c r="V70" s="215"/>
      <c r="W70" s="212"/>
    </row>
    <row r="71" spans="1:23" ht="15" customHeight="1" x14ac:dyDescent="0.2">
      <c r="A71" s="78">
        <v>70</v>
      </c>
      <c r="B71" s="232" t="s">
        <v>86</v>
      </c>
      <c r="C71" s="174" t="s">
        <v>87</v>
      </c>
      <c r="D71" s="174">
        <v>9902948096</v>
      </c>
      <c r="E71" s="217" t="s">
        <v>611</v>
      </c>
      <c r="F71" s="204" t="s">
        <v>612</v>
      </c>
      <c r="G71" s="204">
        <v>9739137153</v>
      </c>
      <c r="H71" s="223" t="s">
        <v>613</v>
      </c>
      <c r="I71" s="219"/>
      <c r="J71" s="219"/>
      <c r="K71" s="219"/>
      <c r="L71" s="209" t="s">
        <v>614</v>
      </c>
      <c r="M71" s="224" t="s">
        <v>615</v>
      </c>
      <c r="N71" s="210" t="s">
        <v>616</v>
      </c>
      <c r="O71" s="211"/>
      <c r="P71" s="211"/>
      <c r="Q71" s="211"/>
      <c r="R71" s="211"/>
      <c r="S71" s="212"/>
      <c r="T71" s="212"/>
      <c r="U71" s="212"/>
      <c r="V71" s="212"/>
      <c r="W71" s="215"/>
    </row>
    <row r="72" spans="1:23" ht="15" customHeight="1" x14ac:dyDescent="0.2">
      <c r="A72" s="229">
        <v>71</v>
      </c>
      <c r="B72" s="233" t="s">
        <v>94</v>
      </c>
      <c r="C72" s="64" t="s">
        <v>617</v>
      </c>
      <c r="D72" s="64">
        <v>9611000066</v>
      </c>
      <c r="E72" s="225" t="s">
        <v>619</v>
      </c>
      <c r="F72" s="226" t="s">
        <v>620</v>
      </c>
      <c r="G72" s="227" t="s">
        <v>621</v>
      </c>
      <c r="H72" s="205"/>
      <c r="I72" s="207" t="s">
        <v>622</v>
      </c>
      <c r="J72" s="207">
        <v>9663599711</v>
      </c>
      <c r="K72" s="228" t="s">
        <v>624</v>
      </c>
      <c r="L72" s="209"/>
      <c r="M72" s="209"/>
      <c r="N72" s="209"/>
      <c r="O72" s="211"/>
      <c r="P72" s="211"/>
      <c r="Q72" s="211"/>
      <c r="R72" s="211"/>
      <c r="S72" s="212"/>
      <c r="T72" s="212"/>
      <c r="U72" s="212"/>
      <c r="V72" s="212"/>
      <c r="W72" s="215"/>
    </row>
    <row r="74" spans="1:23" ht="15" customHeight="1" x14ac:dyDescent="0.2">
      <c r="B74" s="255" t="s">
        <v>630</v>
      </c>
      <c r="C74" s="256" t="s">
        <v>631</v>
      </c>
      <c r="D74" s="256" t="s">
        <v>158</v>
      </c>
      <c r="E74" s="256" t="s">
        <v>632</v>
      </c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</row>
    <row r="75" spans="1:23" ht="15" customHeight="1" x14ac:dyDescent="0.2">
      <c r="B75" s="256" t="s">
        <v>633</v>
      </c>
      <c r="C75" s="256" t="s">
        <v>634</v>
      </c>
      <c r="D75" s="256" t="s">
        <v>636</v>
      </c>
      <c r="E75" s="256" t="s">
        <v>637</v>
      </c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</row>
    <row r="76" spans="1:23" ht="15" customHeight="1" x14ac:dyDescent="0.2">
      <c r="B76" s="256" t="s">
        <v>638</v>
      </c>
      <c r="C76" s="256" t="s">
        <v>639</v>
      </c>
      <c r="D76" s="256" t="s">
        <v>640</v>
      </c>
      <c r="E76" s="256" t="s">
        <v>641</v>
      </c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</row>
    <row r="77" spans="1:23" ht="15" customHeight="1" x14ac:dyDescent="0.2">
      <c r="B77" s="256" t="s">
        <v>642</v>
      </c>
      <c r="C77" s="256" t="s">
        <v>643</v>
      </c>
      <c r="D77" s="256" t="s">
        <v>644</v>
      </c>
      <c r="E77" s="256" t="s">
        <v>645</v>
      </c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</row>
    <row r="78" spans="1:23" ht="15" customHeight="1" x14ac:dyDescent="0.2">
      <c r="B78" s="256" t="s">
        <v>646</v>
      </c>
      <c r="C78" s="256" t="s">
        <v>647</v>
      </c>
      <c r="D78" s="256" t="s">
        <v>648</v>
      </c>
      <c r="E78" s="256" t="s">
        <v>649</v>
      </c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</row>
    <row r="79" spans="1:23" ht="15" customHeight="1" x14ac:dyDescent="0.2">
      <c r="B79" s="256" t="s">
        <v>650</v>
      </c>
      <c r="C79" s="256" t="s">
        <v>651</v>
      </c>
      <c r="D79" s="256" t="s">
        <v>652</v>
      </c>
      <c r="E79" s="256" t="s">
        <v>653</v>
      </c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</row>
    <row r="80" spans="1:23" ht="15" customHeight="1" x14ac:dyDescent="0.2">
      <c r="B80" s="256" t="s">
        <v>654</v>
      </c>
      <c r="C80" s="256" t="s">
        <v>655</v>
      </c>
      <c r="D80" s="256" t="s">
        <v>656</v>
      </c>
      <c r="E80" s="256" t="s">
        <v>657</v>
      </c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</row>
    <row r="81" spans="2:23" ht="15" customHeight="1" x14ac:dyDescent="0.2">
      <c r="B81" s="256" t="s">
        <v>658</v>
      </c>
      <c r="C81" s="256" t="s">
        <v>659</v>
      </c>
      <c r="D81" s="256" t="s">
        <v>660</v>
      </c>
      <c r="E81" s="256" t="s">
        <v>661</v>
      </c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</row>
    <row r="82" spans="2:23" ht="15" customHeight="1" x14ac:dyDescent="0.2">
      <c r="B82" s="256" t="s">
        <v>662</v>
      </c>
      <c r="C82" s="256" t="s">
        <v>663</v>
      </c>
      <c r="D82" s="256" t="s">
        <v>664</v>
      </c>
      <c r="E82" s="256" t="s">
        <v>665</v>
      </c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</row>
    <row r="83" spans="2:23" ht="15" customHeight="1" x14ac:dyDescent="0.2">
      <c r="B83" s="256" t="s">
        <v>666</v>
      </c>
      <c r="C83" s="256" t="s">
        <v>667</v>
      </c>
      <c r="D83" s="256" t="s">
        <v>668</v>
      </c>
      <c r="E83" s="256" t="s">
        <v>669</v>
      </c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</row>
    <row r="84" spans="2:23" ht="15" customHeight="1" x14ac:dyDescent="0.2">
      <c r="B84" s="256" t="s">
        <v>670</v>
      </c>
      <c r="C84" s="256" t="s">
        <v>671</v>
      </c>
      <c r="D84" s="256" t="s">
        <v>672</v>
      </c>
      <c r="E84" s="256" t="s">
        <v>673</v>
      </c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</row>
    <row r="85" spans="2:23" ht="15" customHeight="1" x14ac:dyDescent="0.2">
      <c r="B85" s="256" t="s">
        <v>674</v>
      </c>
      <c r="C85" s="256" t="s">
        <v>675</v>
      </c>
      <c r="D85" s="256" t="s">
        <v>676</v>
      </c>
      <c r="E85" s="256" t="s">
        <v>677</v>
      </c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</row>
    <row r="86" spans="2:23" ht="15" customHeight="1" x14ac:dyDescent="0.2">
      <c r="B86" s="256" t="s">
        <v>678</v>
      </c>
      <c r="C86" s="256" t="s">
        <v>679</v>
      </c>
      <c r="D86" s="256" t="s">
        <v>680</v>
      </c>
      <c r="E86" s="256" t="s">
        <v>681</v>
      </c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</row>
    <row r="87" spans="2:23" ht="15" customHeight="1" x14ac:dyDescent="0.2">
      <c r="B87" s="256" t="s">
        <v>682</v>
      </c>
      <c r="C87" s="256" t="s">
        <v>683</v>
      </c>
      <c r="D87" s="256" t="s">
        <v>685</v>
      </c>
      <c r="E87" s="256" t="s">
        <v>686</v>
      </c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</row>
    <row r="88" spans="2:23" ht="15" customHeight="1" x14ac:dyDescent="0.2">
      <c r="B88" s="256" t="s">
        <v>687</v>
      </c>
      <c r="C88" s="256" t="s">
        <v>688</v>
      </c>
      <c r="D88" s="256" t="s">
        <v>689</v>
      </c>
      <c r="E88" s="256" t="s">
        <v>690</v>
      </c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</row>
    <row r="89" spans="2:23" ht="15" customHeight="1" x14ac:dyDescent="0.2">
      <c r="B89" s="256" t="s">
        <v>691</v>
      </c>
      <c r="C89" s="256" t="s">
        <v>692</v>
      </c>
      <c r="D89" s="256" t="s">
        <v>693</v>
      </c>
      <c r="E89" s="256" t="s">
        <v>694</v>
      </c>
      <c r="F89" s="257"/>
      <c r="G89" s="257"/>
      <c r="H89" s="257"/>
      <c r="I89" s="257"/>
      <c r="J89" s="257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</row>
    <row r="90" spans="2:23" ht="15" customHeight="1" x14ac:dyDescent="0.2">
      <c r="B90" s="256" t="s">
        <v>695</v>
      </c>
      <c r="C90" s="256" t="s">
        <v>696</v>
      </c>
      <c r="D90" s="256"/>
      <c r="E90" s="256" t="s">
        <v>697</v>
      </c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</row>
    <row r="91" spans="2:23" ht="15" customHeight="1" x14ac:dyDescent="0.2">
      <c r="B91" s="255" t="s">
        <v>698</v>
      </c>
      <c r="C91" s="256" t="s">
        <v>699</v>
      </c>
      <c r="D91" s="256" t="s">
        <v>700</v>
      </c>
      <c r="E91" s="256" t="s">
        <v>701</v>
      </c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</row>
    <row r="92" spans="2:23" ht="15" customHeight="1" x14ac:dyDescent="0.2">
      <c r="B92" s="256" t="s">
        <v>702</v>
      </c>
      <c r="C92" s="256" t="s">
        <v>703</v>
      </c>
      <c r="D92" s="256" t="s">
        <v>704</v>
      </c>
      <c r="E92" s="256" t="s">
        <v>705</v>
      </c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</row>
    <row r="93" spans="2:23" ht="15" customHeight="1" x14ac:dyDescent="0.2">
      <c r="B93" s="256" t="s">
        <v>706</v>
      </c>
      <c r="C93" s="256" t="s">
        <v>707</v>
      </c>
      <c r="D93" s="256" t="s">
        <v>708</v>
      </c>
      <c r="E93" s="256" t="s">
        <v>709</v>
      </c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</row>
    <row r="94" spans="2:23" ht="15" customHeight="1" x14ac:dyDescent="0.2">
      <c r="B94" s="256" t="s">
        <v>710</v>
      </c>
      <c r="C94" s="256" t="s">
        <v>711</v>
      </c>
      <c r="D94" s="256" t="s">
        <v>712</v>
      </c>
      <c r="E94" s="256" t="s">
        <v>713</v>
      </c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</row>
    <row r="95" spans="2:23" ht="15" customHeight="1" x14ac:dyDescent="0.2">
      <c r="B95" s="255" t="s">
        <v>714</v>
      </c>
      <c r="C95" s="256" t="s">
        <v>715</v>
      </c>
      <c r="D95" s="256" t="s">
        <v>717</v>
      </c>
      <c r="E95" s="256" t="s">
        <v>718</v>
      </c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</row>
    <row r="96" spans="2:23" ht="15" customHeight="1" x14ac:dyDescent="0.2">
      <c r="B96" s="255" t="s">
        <v>719</v>
      </c>
      <c r="C96" s="256" t="s">
        <v>720</v>
      </c>
      <c r="D96" s="256" t="s">
        <v>721</v>
      </c>
      <c r="E96" s="256" t="s">
        <v>722</v>
      </c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</row>
    <row r="97" spans="2:23" ht="15" customHeight="1" x14ac:dyDescent="0.2">
      <c r="B97" s="255" t="s">
        <v>723</v>
      </c>
      <c r="C97" s="256" t="s">
        <v>724</v>
      </c>
      <c r="D97" s="256" t="s">
        <v>725</v>
      </c>
      <c r="E97" s="256" t="s">
        <v>726</v>
      </c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</row>
    <row r="98" spans="2:23" ht="15" customHeight="1" x14ac:dyDescent="0.2">
      <c r="B98" s="256" t="s">
        <v>727</v>
      </c>
      <c r="C98" s="256" t="s">
        <v>728</v>
      </c>
      <c r="D98" s="256" t="s">
        <v>730</v>
      </c>
      <c r="E98" s="256" t="s">
        <v>731</v>
      </c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</row>
    <row r="99" spans="2:23" ht="15" customHeight="1" x14ac:dyDescent="0.2">
      <c r="B99" s="256" t="s">
        <v>732</v>
      </c>
      <c r="C99" s="256" t="s">
        <v>733</v>
      </c>
      <c r="D99" s="256" t="s">
        <v>734</v>
      </c>
      <c r="E99" s="256" t="s">
        <v>735</v>
      </c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</row>
    <row r="100" spans="2:23" ht="15" customHeight="1" x14ac:dyDescent="0.2">
      <c r="B100" s="256" t="s">
        <v>736</v>
      </c>
      <c r="C100" s="256" t="s">
        <v>736</v>
      </c>
      <c r="D100" s="256" t="s">
        <v>737</v>
      </c>
      <c r="E100" s="256" t="s">
        <v>738</v>
      </c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</row>
    <row r="101" spans="2:23" ht="15" customHeight="1" x14ac:dyDescent="0.2">
      <c r="B101" s="256" t="s">
        <v>739</v>
      </c>
      <c r="C101" s="256" t="s">
        <v>740</v>
      </c>
      <c r="D101" s="256" t="s">
        <v>741</v>
      </c>
      <c r="E101" s="256" t="s">
        <v>742</v>
      </c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</row>
    <row r="102" spans="2:23" ht="15" customHeight="1" x14ac:dyDescent="0.2">
      <c r="B102" s="256" t="s">
        <v>743</v>
      </c>
      <c r="C102" s="256" t="s">
        <v>27</v>
      </c>
      <c r="D102" s="256" t="s">
        <v>744</v>
      </c>
      <c r="E102" s="256" t="s">
        <v>745</v>
      </c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</row>
    <row r="103" spans="2:23" ht="15" customHeight="1" x14ac:dyDescent="0.2">
      <c r="B103" s="256" t="s">
        <v>746</v>
      </c>
      <c r="C103" s="256" t="s">
        <v>747</v>
      </c>
      <c r="D103" s="256" t="s">
        <v>748</v>
      </c>
      <c r="E103" s="256" t="s">
        <v>749</v>
      </c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</row>
    <row r="104" spans="2:23" ht="15" customHeight="1" x14ac:dyDescent="0.2">
      <c r="B104" s="256" t="s">
        <v>750</v>
      </c>
      <c r="C104" s="256" t="s">
        <v>751</v>
      </c>
      <c r="D104" s="256" t="s">
        <v>752</v>
      </c>
      <c r="E104" s="256" t="s">
        <v>701</v>
      </c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</row>
    <row r="105" spans="2:23" ht="15" customHeight="1" x14ac:dyDescent="0.2">
      <c r="B105" s="256" t="s">
        <v>753</v>
      </c>
      <c r="C105" s="256" t="s">
        <v>754</v>
      </c>
      <c r="D105" s="256" t="s">
        <v>756</v>
      </c>
      <c r="E105" s="256" t="s">
        <v>757</v>
      </c>
      <c r="F105" s="257"/>
      <c r="G105" s="257"/>
      <c r="H105" s="257"/>
      <c r="I105" s="257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</row>
    <row r="106" spans="2:23" ht="15" customHeight="1" x14ac:dyDescent="0.2">
      <c r="B106" s="256" t="s">
        <v>758</v>
      </c>
      <c r="C106" s="256" t="s">
        <v>759</v>
      </c>
      <c r="D106" s="256" t="s">
        <v>761</v>
      </c>
      <c r="E106" s="256" t="s">
        <v>762</v>
      </c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</row>
    <row r="107" spans="2:23" ht="15" customHeight="1" x14ac:dyDescent="0.2">
      <c r="B107" s="256" t="s">
        <v>763</v>
      </c>
      <c r="C107" s="256" t="s">
        <v>764</v>
      </c>
      <c r="D107" s="256" t="s">
        <v>765</v>
      </c>
      <c r="E107" s="256" t="s">
        <v>766</v>
      </c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</row>
    <row r="108" spans="2:23" ht="15" customHeight="1" x14ac:dyDescent="0.2">
      <c r="B108" s="256" t="s">
        <v>767</v>
      </c>
      <c r="C108" s="256" t="s">
        <v>768</v>
      </c>
      <c r="D108" s="256" t="s">
        <v>769</v>
      </c>
      <c r="E108" s="256" t="s">
        <v>770</v>
      </c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</row>
  </sheetData>
  <hyperlinks>
    <hyperlink ref="W23" r:id="rId1"/>
    <hyperlink ref="E3" r:id="rId2"/>
    <hyperlink ref="H3" r:id="rId3"/>
    <hyperlink ref="K3" r:id="rId4"/>
    <hyperlink ref="R4" r:id="rId5"/>
    <hyperlink ref="G18" r:id="rId6"/>
    <hyperlink ref="E11" r:id="rId7"/>
    <hyperlink ref="E18" r:id="rId8"/>
    <hyperlink ref="K18" r:id="rId9"/>
    <hyperlink ref="H11" r:id="rId10"/>
    <hyperlink ref="N18" r:id="rId11"/>
    <hyperlink ref="H16" r:id="rId12"/>
    <hyperlink ref="E16" r:id="rId13"/>
    <hyperlink ref="K16" r:id="rId14"/>
    <hyperlink ref="R18" r:id="rId15"/>
    <hyperlink ref="V18" r:id="rId16"/>
    <hyperlink ref="E12" r:id="rId17"/>
    <hyperlink ref="E23" r:id="rId18"/>
    <hyperlink ref="H23" r:id="rId19"/>
    <hyperlink ref="E10" r:id="rId20"/>
    <hyperlink ref="H4" r:id="rId21"/>
    <hyperlink ref="K4" r:id="rId22"/>
    <hyperlink ref="H12" r:id="rId23"/>
    <hyperlink ref="N4" r:id="rId24"/>
    <hyperlink ref="H10" r:id="rId25"/>
    <hyperlink ref="K23" r:id="rId26"/>
    <hyperlink ref="E4" r:id="rId27"/>
    <hyperlink ref="N23" r:id="rId28"/>
    <hyperlink ref="K10" r:id="rId29"/>
    <hyperlink ref="N10" r:id="rId30"/>
    <hyperlink ref="K12" r:id="rId31"/>
    <hyperlink ref="V4" r:id="rId32"/>
    <hyperlink ref="V3" r:id="rId33"/>
    <hyperlink ref="E19" r:id="rId34"/>
    <hyperlink ref="H19" r:id="rId35"/>
    <hyperlink ref="N33" r:id="rId36"/>
    <hyperlink ref="H34" r:id="rId37"/>
    <hyperlink ref="E34" r:id="rId38"/>
    <hyperlink ref="K34" r:id="rId39"/>
    <hyperlink ref="N34" r:id="rId40"/>
    <hyperlink ref="E51" r:id="rId41"/>
    <hyperlink ref="E52" r:id="rId42"/>
    <hyperlink ref="H33" r:id="rId43"/>
    <hyperlink ref="K33" r:id="rId44"/>
    <hyperlink ref="E36" r:id="rId45"/>
    <hyperlink ref="E33" r:id="rId46"/>
    <hyperlink ref="E60" r:id="rId47"/>
    <hyperlink ref="E54" r:id="rId48"/>
    <hyperlink ref="E13" r:id="rId49"/>
    <hyperlink ref="H13" r:id="rId50"/>
    <hyperlink ref="K13" r:id="rId51"/>
    <hyperlink ref="H54" r:id="rId52"/>
    <hyperlink ref="E37" r:id="rId53"/>
    <hyperlink ref="E49" r:id="rId54"/>
    <hyperlink ref="E5" r:id="rId55"/>
    <hyperlink ref="H37" r:id="rId56"/>
    <hyperlink ref="E47" r:id="rId57"/>
    <hyperlink ref="H47" r:id="rId58"/>
    <hyperlink ref="E56" r:id="rId59"/>
    <hyperlink ref="E27" r:id="rId60"/>
    <hyperlink ref="H46" r:id="rId61"/>
    <hyperlink ref="E46" r:id="rId62"/>
    <hyperlink ref="E41" r:id="rId63"/>
    <hyperlink ref="H41" r:id="rId64"/>
    <hyperlink ref="E61" r:id="rId65"/>
    <hyperlink ref="H61" r:id="rId66"/>
    <hyperlink ref="E6" r:id="rId67"/>
    <hyperlink ref="E9" r:id="rId68"/>
    <hyperlink ref="E26" r:id="rId69"/>
    <hyperlink ref="H26" r:id="rId70"/>
    <hyperlink ref="K26" r:id="rId71"/>
    <hyperlink ref="N26" r:id="rId72"/>
    <hyperlink ref="R26" r:id="rId73"/>
    <hyperlink ref="V26" r:id="rId74"/>
    <hyperlink ref="E55" r:id="rId75"/>
    <hyperlink ref="H55" r:id="rId76"/>
    <hyperlink ref="K55" r:id="rId77"/>
    <hyperlink ref="H2" r:id="rId78" display="sreyoshi.banerjee@accenture.com"/>
    <hyperlink ref="K2" r:id="rId79"/>
    <hyperlink ref="E7" r:id="rId80"/>
    <hyperlink ref="R2" r:id="rId81"/>
    <hyperlink ref="N2" r:id="rId82"/>
    <hyperlink ref="E14" r:id="rId83"/>
    <hyperlink ref="H14" r:id="rId84"/>
    <hyperlink ref="E15" r:id="rId85"/>
    <hyperlink ref="K15" r:id="rId86"/>
    <hyperlink ref="R15" r:id="rId87"/>
    <hyperlink ref="K14" r:id="rId88"/>
    <hyperlink ref="N17" r:id="rId89"/>
    <hyperlink ref="R17" r:id="rId90"/>
    <hyperlink ref="E17" r:id="rId91"/>
    <hyperlink ref="H17" r:id="rId92" display="Archana.Sali@ca.com"/>
    <hyperlink ref="K17" r:id="rId93" display="vikas.kumar@syniverse.com"/>
    <hyperlink ref="E22" r:id="rId94"/>
    <hyperlink ref="H22" r:id="rId95"/>
    <hyperlink ref="E28" r:id="rId96"/>
    <hyperlink ref="H28" r:id="rId97"/>
    <hyperlink ref="H29" r:id="rId98"/>
    <hyperlink ref="E29" r:id="rId99"/>
    <hyperlink ref="M30" r:id="rId100"/>
    <hyperlink ref="E32" r:id="rId101"/>
    <hyperlink ref="Z30" r:id="rId102"/>
    <hyperlink ref="AD30" r:id="rId103"/>
    <hyperlink ref="AL30" r:id="rId104"/>
    <hyperlink ref="E30" r:id="rId105"/>
    <hyperlink ref="H30" r:id="rId106"/>
    <hyperlink ref="K30" r:id="rId107"/>
    <hyperlink ref="V30" r:id="rId108"/>
    <hyperlink ref="N38" r:id="rId109"/>
    <hyperlink ref="K38" r:id="rId110"/>
    <hyperlink ref="H38" r:id="rId111"/>
    <hyperlink ref="E38" r:id="rId112" display="mailto:Krishnakumar_Natarajan@mindtree.com"/>
    <hyperlink ref="H42" r:id="rId113"/>
    <hyperlink ref="E42" r:id="rId114"/>
    <hyperlink ref="H40" r:id="rId115"/>
    <hyperlink ref="R38" r:id="rId116"/>
    <hyperlink ref="K40" r:id="rId117"/>
    <hyperlink ref="E58" r:id="rId118"/>
    <hyperlink ref="E43" r:id="rId119"/>
    <hyperlink ref="H48" r:id="rId120"/>
    <hyperlink ref="E48" r:id="rId121"/>
    <hyperlink ref="H58" r:id="rId122"/>
    <hyperlink ref="E57" r:id="rId123"/>
    <hyperlink ref="E53" r:id="rId124"/>
    <hyperlink ref="K50" r:id="rId125"/>
    <hyperlink ref="E50" r:id="rId126"/>
    <hyperlink ref="E8" r:id="rId127"/>
    <hyperlink ref="H21" r:id="rId128"/>
    <hyperlink ref="E21" r:id="rId129"/>
    <hyperlink ref="E59" r:id="rId130"/>
    <hyperlink ref="H59" r:id="rId131"/>
    <hyperlink ref="K59" r:id="rId132"/>
    <hyperlink ref="N59" r:id="rId133"/>
    <hyperlink ref="R59" r:id="rId134"/>
    <hyperlink ref="E31" r:id="rId135"/>
    <hyperlink ref="K48" r:id="rId136"/>
    <hyperlink ref="H43" r:id="rId137"/>
    <hyperlink ref="E2" r:id="rId138"/>
    <hyperlink ref="V2" r:id="rId139"/>
    <hyperlink ref="K39" r:id="rId140"/>
    <hyperlink ref="K19" r:id="rId141"/>
    <hyperlink ref="R14" r:id="rId142"/>
    <hyperlink ref="H36" r:id="rId143"/>
    <hyperlink ref="E25" r:id="rId144"/>
    <hyperlink ref="N50" r:id="rId145"/>
    <hyperlink ref="E64" r:id="rId146"/>
    <hyperlink ref="H65" r:id="rId147"/>
    <hyperlink ref="E65" r:id="rId148"/>
    <hyperlink ref="K65" r:id="rId149"/>
    <hyperlink ref="E66" r:id="rId150"/>
    <hyperlink ref="E67" r:id="rId151"/>
    <hyperlink ref="N71" r:id="rId152"/>
    <hyperlink ref="H71" r:id="rId153"/>
    <hyperlink ref="E68" r:id="rId154"/>
    <hyperlink ref="K68" r:id="rId155"/>
    <hyperlink ref="H68" r:id="rId156"/>
    <hyperlink ref="N68" r:id="rId157"/>
    <hyperlink ref="E71" r:id="rId158"/>
    <hyperlink ref="K70" r:id="rId159"/>
    <hyperlink ref="N70" r:id="rId160"/>
    <hyperlink ref="E70" r:id="rId161"/>
    <hyperlink ref="H69" r:id="rId162"/>
    <hyperlink ref="H70" r:id="rId163"/>
    <hyperlink ref="E72" r:id="rId164"/>
    <hyperlink ref="G72" r:id="rId165"/>
    <hyperlink ref="K72" r:id="rId166"/>
    <hyperlink ref="L44" r:id="rId167"/>
  </hyperlinks>
  <pageMargins left="0.7" right="0.7" top="0.75" bottom="0.75" header="0.3" footer="0.3"/>
  <pageSetup paperSize="9" orientation="portrait" r:id="rId168"/>
  <drawing r:id="rId169"/>
  <legacyDrawing r:id="rId17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0"/>
  <sheetViews>
    <sheetView workbookViewId="0">
      <selection activeCell="A25" sqref="A25"/>
    </sheetView>
  </sheetViews>
  <sheetFormatPr baseColWidth="10" defaultColWidth="8.83203125" defaultRowHeight="18" customHeight="1" x14ac:dyDescent="0.15"/>
  <cols>
    <col min="1" max="1" width="11.5" style="325" bestFit="1" customWidth="1"/>
    <col min="2" max="2" width="32.33203125" style="325" customWidth="1"/>
    <col min="3" max="3" width="24.5" style="325" customWidth="1"/>
    <col min="4" max="4" width="20" style="381" customWidth="1"/>
    <col min="5" max="6" width="20" style="325" customWidth="1"/>
    <col min="7" max="7" width="46.5" style="382" bestFit="1" customWidth="1"/>
    <col min="8" max="8" width="10.1640625" style="325" bestFit="1" customWidth="1"/>
    <col min="9" max="16384" width="8.83203125" style="325"/>
  </cols>
  <sheetData>
    <row r="1" spans="1:7" s="323" customFormat="1" ht="14" x14ac:dyDescent="0.15">
      <c r="A1" s="322" t="s">
        <v>789</v>
      </c>
      <c r="B1" s="322" t="s">
        <v>100</v>
      </c>
      <c r="C1" s="322" t="s">
        <v>790</v>
      </c>
      <c r="D1" s="322" t="s">
        <v>791</v>
      </c>
      <c r="E1" s="322" t="s">
        <v>792</v>
      </c>
      <c r="F1" s="322" t="s">
        <v>793</v>
      </c>
      <c r="G1" s="322" t="s">
        <v>794</v>
      </c>
    </row>
    <row r="2" spans="1:7" ht="14" x14ac:dyDescent="0.15">
      <c r="A2" s="324"/>
      <c r="B2" s="324" t="s">
        <v>151</v>
      </c>
      <c r="C2" s="324" t="s">
        <v>795</v>
      </c>
      <c r="D2" s="324">
        <v>9611671155</v>
      </c>
      <c r="E2" s="324" t="s">
        <v>1271</v>
      </c>
      <c r="F2" s="324"/>
      <c r="G2" s="324" t="s">
        <v>152</v>
      </c>
    </row>
    <row r="3" spans="1:7" ht="14" x14ac:dyDescent="0.15">
      <c r="A3" s="326" t="s">
        <v>796</v>
      </c>
      <c r="B3" s="326" t="s">
        <v>797</v>
      </c>
      <c r="C3" s="327" t="s">
        <v>798</v>
      </c>
      <c r="D3" s="326" t="s">
        <v>799</v>
      </c>
      <c r="E3" s="326" t="s">
        <v>1262</v>
      </c>
      <c r="F3" s="326" t="s">
        <v>800</v>
      </c>
      <c r="G3" s="326" t="s">
        <v>801</v>
      </c>
    </row>
    <row r="4" spans="1:7" ht="14" x14ac:dyDescent="0.15">
      <c r="A4" s="324"/>
      <c r="B4" s="324" t="s">
        <v>802</v>
      </c>
      <c r="C4" s="324" t="s">
        <v>803</v>
      </c>
      <c r="D4" s="324" t="s">
        <v>804</v>
      </c>
      <c r="E4" s="324" t="s">
        <v>1270</v>
      </c>
      <c r="F4" s="324"/>
      <c r="G4" s="324" t="s">
        <v>805</v>
      </c>
    </row>
    <row r="5" spans="1:7" ht="14" x14ac:dyDescent="0.15">
      <c r="A5" s="327" t="s">
        <v>806</v>
      </c>
      <c r="B5" s="327" t="s">
        <v>508</v>
      </c>
      <c r="C5" s="327" t="s">
        <v>506</v>
      </c>
      <c r="D5" s="327"/>
      <c r="E5" s="327" t="s">
        <v>807</v>
      </c>
      <c r="F5" s="327"/>
      <c r="G5" s="328" t="s">
        <v>509</v>
      </c>
    </row>
    <row r="6" spans="1:7" ht="14" x14ac:dyDescent="0.15">
      <c r="A6" s="324"/>
      <c r="B6" s="324" t="s">
        <v>808</v>
      </c>
      <c r="C6" s="324" t="s">
        <v>809</v>
      </c>
      <c r="D6" s="324">
        <v>9900355668</v>
      </c>
      <c r="E6" s="324" t="s">
        <v>1273</v>
      </c>
      <c r="F6" s="324"/>
      <c r="G6" s="324" t="s">
        <v>810</v>
      </c>
    </row>
    <row r="7" spans="1:7" ht="14" x14ac:dyDescent="0.15">
      <c r="A7" s="327" t="s">
        <v>806</v>
      </c>
      <c r="B7" s="327" t="s">
        <v>172</v>
      </c>
      <c r="C7" s="327" t="s">
        <v>811</v>
      </c>
      <c r="D7" s="327"/>
      <c r="E7" s="327" t="s">
        <v>812</v>
      </c>
      <c r="F7" s="327"/>
      <c r="G7" s="328" t="s">
        <v>173</v>
      </c>
    </row>
    <row r="8" spans="1:7" ht="14" x14ac:dyDescent="0.15">
      <c r="A8" s="327" t="s">
        <v>806</v>
      </c>
      <c r="B8" s="327" t="s">
        <v>174</v>
      </c>
      <c r="C8" s="327" t="s">
        <v>1274</v>
      </c>
      <c r="D8" s="327"/>
      <c r="E8" s="327" t="s">
        <v>812</v>
      </c>
      <c r="F8" s="327">
        <v>803070505103</v>
      </c>
      <c r="G8" s="328" t="s">
        <v>176</v>
      </c>
    </row>
    <row r="9" spans="1:7" ht="14" x14ac:dyDescent="0.15">
      <c r="A9" s="327" t="s">
        <v>796</v>
      </c>
      <c r="B9" s="327" t="s">
        <v>606</v>
      </c>
      <c r="C9" s="327" t="s">
        <v>83</v>
      </c>
      <c r="D9" s="327">
        <v>9742111020</v>
      </c>
      <c r="E9" s="327"/>
      <c r="F9" s="327"/>
      <c r="G9" s="328" t="s">
        <v>607</v>
      </c>
    </row>
    <row r="10" spans="1:7" ht="14" x14ac:dyDescent="0.15">
      <c r="A10" s="327" t="s">
        <v>806</v>
      </c>
      <c r="B10" s="327" t="s">
        <v>89</v>
      </c>
      <c r="C10" s="327" t="s">
        <v>88</v>
      </c>
      <c r="D10" s="327">
        <v>9886640333</v>
      </c>
      <c r="E10" s="327" t="s">
        <v>1410</v>
      </c>
      <c r="F10" s="327"/>
      <c r="G10" s="328" t="s">
        <v>528</v>
      </c>
    </row>
    <row r="11" spans="1:7" ht="14" x14ac:dyDescent="0.15">
      <c r="A11" s="326" t="s">
        <v>796</v>
      </c>
      <c r="B11" s="326" t="s">
        <v>813</v>
      </c>
      <c r="C11" s="327" t="s">
        <v>814</v>
      </c>
      <c r="D11" s="326" t="s">
        <v>815</v>
      </c>
      <c r="E11" s="326" t="s">
        <v>1277</v>
      </c>
      <c r="F11" s="326" t="s">
        <v>816</v>
      </c>
      <c r="G11" s="326" t="s">
        <v>817</v>
      </c>
    </row>
    <row r="12" spans="1:7" ht="14" x14ac:dyDescent="0.15">
      <c r="A12" s="326" t="s">
        <v>806</v>
      </c>
      <c r="B12" s="326" t="s">
        <v>818</v>
      </c>
      <c r="C12" s="327" t="s">
        <v>819</v>
      </c>
      <c r="D12" s="326" t="s">
        <v>243</v>
      </c>
      <c r="E12" s="329" t="s">
        <v>820</v>
      </c>
      <c r="F12" s="326"/>
      <c r="G12" s="326" t="s">
        <v>821</v>
      </c>
    </row>
    <row r="13" spans="1:7" ht="14" x14ac:dyDescent="0.15">
      <c r="A13" s="330" t="s">
        <v>796</v>
      </c>
      <c r="B13" s="330" t="s">
        <v>822</v>
      </c>
      <c r="C13" s="330" t="s">
        <v>823</v>
      </c>
      <c r="D13" s="330"/>
      <c r="E13" s="330" t="s">
        <v>824</v>
      </c>
      <c r="F13" s="330"/>
      <c r="G13" s="331" t="s">
        <v>825</v>
      </c>
    </row>
    <row r="14" spans="1:7" ht="15" x14ac:dyDescent="0.2">
      <c r="A14" s="327" t="s">
        <v>796</v>
      </c>
      <c r="B14" s="327" t="s">
        <v>826</v>
      </c>
      <c r="C14" s="327" t="s">
        <v>827</v>
      </c>
      <c r="D14" s="327">
        <v>22999264</v>
      </c>
      <c r="E14" s="327"/>
      <c r="F14" s="327"/>
      <c r="G14" s="332" t="s">
        <v>828</v>
      </c>
    </row>
    <row r="15" spans="1:7" ht="14" x14ac:dyDescent="0.15">
      <c r="A15" s="327" t="s">
        <v>796</v>
      </c>
      <c r="B15" s="327" t="s">
        <v>829</v>
      </c>
      <c r="C15" s="327" t="s">
        <v>830</v>
      </c>
      <c r="D15" s="327" t="s">
        <v>831</v>
      </c>
      <c r="E15" s="327" t="s">
        <v>1280</v>
      </c>
      <c r="F15" s="327"/>
      <c r="G15" s="333" t="s">
        <v>832</v>
      </c>
    </row>
    <row r="16" spans="1:7" ht="14" x14ac:dyDescent="0.15">
      <c r="A16" s="327" t="s">
        <v>806</v>
      </c>
      <c r="B16" s="327" t="s">
        <v>833</v>
      </c>
      <c r="C16" s="327" t="s">
        <v>834</v>
      </c>
      <c r="D16" s="326"/>
      <c r="E16" s="326" t="s">
        <v>835</v>
      </c>
      <c r="F16" s="326" t="s">
        <v>1281</v>
      </c>
      <c r="G16" s="333" t="s">
        <v>836</v>
      </c>
    </row>
    <row r="17" spans="1:7" ht="14" x14ac:dyDescent="0.15">
      <c r="A17" s="324"/>
      <c r="B17" s="324" t="s">
        <v>837</v>
      </c>
      <c r="C17" s="324" t="s">
        <v>838</v>
      </c>
      <c r="D17" s="324">
        <v>9008300085</v>
      </c>
      <c r="E17" s="324" t="s">
        <v>1282</v>
      </c>
      <c r="F17" s="324"/>
      <c r="G17" s="334" t="s">
        <v>839</v>
      </c>
    </row>
    <row r="18" spans="1:7" ht="15" x14ac:dyDescent="0.2">
      <c r="A18" s="335" t="s">
        <v>806</v>
      </c>
      <c r="B18" s="326" t="s">
        <v>840</v>
      </c>
      <c r="C18" s="326" t="s">
        <v>841</v>
      </c>
      <c r="D18" s="326">
        <v>9980054825</v>
      </c>
      <c r="E18" s="417" t="s">
        <v>1283</v>
      </c>
      <c r="F18" s="326"/>
      <c r="G18" s="326" t="s">
        <v>842</v>
      </c>
    </row>
    <row r="19" spans="1:7" ht="14" x14ac:dyDescent="0.15">
      <c r="A19" s="335" t="s">
        <v>806</v>
      </c>
      <c r="B19" s="326" t="s">
        <v>843</v>
      </c>
      <c r="C19" s="326" t="s">
        <v>844</v>
      </c>
      <c r="D19" s="326" t="s">
        <v>845</v>
      </c>
      <c r="E19" s="326" t="s">
        <v>1287</v>
      </c>
      <c r="F19" s="326"/>
      <c r="G19" s="326" t="s">
        <v>846</v>
      </c>
    </row>
    <row r="20" spans="1:7" ht="14" x14ac:dyDescent="0.15">
      <c r="A20" s="326" t="s">
        <v>806</v>
      </c>
      <c r="B20" s="327" t="s">
        <v>847</v>
      </c>
      <c r="C20" s="326" t="s">
        <v>788</v>
      </c>
      <c r="D20" s="326"/>
      <c r="E20" s="336" t="s">
        <v>848</v>
      </c>
      <c r="F20" s="336"/>
      <c r="G20" s="333" t="s">
        <v>849</v>
      </c>
    </row>
    <row r="21" spans="1:7" ht="14" x14ac:dyDescent="0.15">
      <c r="A21" s="326" t="s">
        <v>806</v>
      </c>
      <c r="B21" s="327" t="s">
        <v>850</v>
      </c>
      <c r="C21" s="326" t="s">
        <v>788</v>
      </c>
      <c r="D21" s="326"/>
      <c r="E21" s="336" t="s">
        <v>848</v>
      </c>
      <c r="F21" s="336"/>
      <c r="G21" s="333" t="s">
        <v>851</v>
      </c>
    </row>
    <row r="22" spans="1:7" ht="14" x14ac:dyDescent="0.15">
      <c r="A22" s="327" t="s">
        <v>796</v>
      </c>
      <c r="B22" s="327" t="s">
        <v>852</v>
      </c>
      <c r="C22" s="327" t="s">
        <v>853</v>
      </c>
      <c r="D22" s="326"/>
      <c r="E22" s="326" t="s">
        <v>854</v>
      </c>
      <c r="F22" s="326"/>
      <c r="G22" s="337" t="s">
        <v>855</v>
      </c>
    </row>
    <row r="23" spans="1:7" ht="14" x14ac:dyDescent="0.15">
      <c r="A23" s="327" t="s">
        <v>796</v>
      </c>
      <c r="B23" s="327" t="s">
        <v>856</v>
      </c>
      <c r="C23" s="327" t="s">
        <v>853</v>
      </c>
      <c r="D23" s="326"/>
      <c r="E23" s="326" t="s">
        <v>854</v>
      </c>
      <c r="F23" s="326"/>
      <c r="G23" s="337" t="s">
        <v>857</v>
      </c>
    </row>
    <row r="24" spans="1:7" ht="14" x14ac:dyDescent="0.15">
      <c r="A24" s="324"/>
      <c r="B24" s="324" t="s">
        <v>858</v>
      </c>
      <c r="C24" s="324" t="s">
        <v>859</v>
      </c>
      <c r="D24" s="324">
        <v>9980433666</v>
      </c>
      <c r="E24" s="324" t="s">
        <v>1288</v>
      </c>
      <c r="F24" s="324"/>
      <c r="G24" s="334" t="s">
        <v>860</v>
      </c>
    </row>
    <row r="25" spans="1:7" ht="14" x14ac:dyDescent="0.15">
      <c r="A25" s="330" t="s">
        <v>806</v>
      </c>
      <c r="B25" s="330" t="s">
        <v>861</v>
      </c>
      <c r="C25" s="330" t="s">
        <v>862</v>
      </c>
      <c r="D25" s="326" t="s">
        <v>1289</v>
      </c>
      <c r="E25" s="338" t="s">
        <v>863</v>
      </c>
      <c r="F25" s="338" t="s">
        <v>864</v>
      </c>
      <c r="G25" s="331" t="s">
        <v>865</v>
      </c>
    </row>
    <row r="26" spans="1:7" ht="14" x14ac:dyDescent="0.15">
      <c r="A26" s="327" t="s">
        <v>796</v>
      </c>
      <c r="B26" s="327" t="s">
        <v>866</v>
      </c>
      <c r="C26" s="327" t="s">
        <v>867</v>
      </c>
      <c r="D26" s="326"/>
      <c r="E26" s="326" t="s">
        <v>868</v>
      </c>
      <c r="F26" s="326" t="s">
        <v>864</v>
      </c>
      <c r="G26" s="328" t="s">
        <v>869</v>
      </c>
    </row>
    <row r="27" spans="1:7" ht="14" x14ac:dyDescent="0.15">
      <c r="A27" s="327" t="s">
        <v>796</v>
      </c>
      <c r="B27" s="327" t="s">
        <v>870</v>
      </c>
      <c r="C27" s="327" t="s">
        <v>867</v>
      </c>
      <c r="D27" s="326"/>
      <c r="E27" s="326" t="s">
        <v>868</v>
      </c>
      <c r="F27" s="326"/>
      <c r="G27" s="326" t="s">
        <v>871</v>
      </c>
    </row>
    <row r="28" spans="1:7" ht="14" x14ac:dyDescent="0.15">
      <c r="A28" s="327" t="s">
        <v>806</v>
      </c>
      <c r="B28" s="327" t="s">
        <v>872</v>
      </c>
      <c r="C28" s="327" t="s">
        <v>873</v>
      </c>
      <c r="D28" s="327"/>
      <c r="E28" s="327" t="s">
        <v>874</v>
      </c>
      <c r="F28" s="327"/>
      <c r="G28" s="331" t="s">
        <v>875</v>
      </c>
    </row>
    <row r="29" spans="1:7" ht="14" x14ac:dyDescent="0.15">
      <c r="A29" s="327" t="s">
        <v>806</v>
      </c>
      <c r="B29" s="327" t="s">
        <v>424</v>
      </c>
      <c r="C29" s="327" t="s">
        <v>873</v>
      </c>
      <c r="D29" s="327"/>
      <c r="E29" s="327" t="s">
        <v>874</v>
      </c>
      <c r="F29" s="327"/>
      <c r="G29" s="331" t="s">
        <v>425</v>
      </c>
    </row>
    <row r="30" spans="1:7" ht="14" x14ac:dyDescent="0.15">
      <c r="A30" s="326" t="s">
        <v>796</v>
      </c>
      <c r="B30" s="327" t="s">
        <v>438</v>
      </c>
      <c r="C30" s="326" t="s">
        <v>437</v>
      </c>
      <c r="D30" s="327"/>
      <c r="E30" s="339" t="s">
        <v>876</v>
      </c>
      <c r="F30" s="339"/>
      <c r="G30" s="333" t="s">
        <v>440</v>
      </c>
    </row>
    <row r="31" spans="1:7" ht="14" x14ac:dyDescent="0.15">
      <c r="A31" s="326" t="s">
        <v>806</v>
      </c>
      <c r="B31" s="327" t="s">
        <v>454</v>
      </c>
      <c r="C31" s="326" t="s">
        <v>450</v>
      </c>
      <c r="D31" s="326"/>
      <c r="E31" s="336" t="s">
        <v>877</v>
      </c>
      <c r="F31" s="336"/>
      <c r="G31" s="333" t="s">
        <v>878</v>
      </c>
    </row>
    <row r="32" spans="1:7" ht="14" x14ac:dyDescent="0.15">
      <c r="A32" s="327" t="s">
        <v>796</v>
      </c>
      <c r="B32" s="327" t="s">
        <v>879</v>
      </c>
      <c r="C32" s="327" t="s">
        <v>880</v>
      </c>
      <c r="D32" s="327">
        <v>9686691965</v>
      </c>
      <c r="E32" s="327" t="s">
        <v>881</v>
      </c>
      <c r="F32" s="327"/>
      <c r="G32" s="333" t="s">
        <v>882</v>
      </c>
    </row>
    <row r="33" spans="1:8" ht="14" x14ac:dyDescent="0.15">
      <c r="A33" s="335" t="s">
        <v>806</v>
      </c>
      <c r="B33" s="326" t="s">
        <v>883</v>
      </c>
      <c r="C33" s="326" t="s">
        <v>884</v>
      </c>
      <c r="D33" s="326">
        <v>9686601962</v>
      </c>
      <c r="E33" s="326"/>
      <c r="F33" s="326"/>
      <c r="G33" s="326" t="s">
        <v>885</v>
      </c>
    </row>
    <row r="34" spans="1:8" ht="14" x14ac:dyDescent="0.15">
      <c r="A34" s="330" t="s">
        <v>806</v>
      </c>
      <c r="B34" s="330" t="s">
        <v>886</v>
      </c>
      <c r="C34" s="330" t="s">
        <v>887</v>
      </c>
      <c r="D34" s="330"/>
      <c r="E34" s="330" t="s">
        <v>888</v>
      </c>
      <c r="F34" s="330"/>
      <c r="G34" s="331" t="s">
        <v>889</v>
      </c>
    </row>
    <row r="35" spans="1:8" ht="14" x14ac:dyDescent="0.15">
      <c r="A35" s="330" t="s">
        <v>806</v>
      </c>
      <c r="B35" s="331" t="s">
        <v>890</v>
      </c>
      <c r="C35" s="330" t="s">
        <v>891</v>
      </c>
      <c r="D35" s="330"/>
      <c r="E35" s="330" t="s">
        <v>892</v>
      </c>
      <c r="F35" s="330"/>
      <c r="G35" s="331" t="s">
        <v>893</v>
      </c>
    </row>
    <row r="36" spans="1:8" ht="15" x14ac:dyDescent="0.2">
      <c r="A36" s="327" t="s">
        <v>796</v>
      </c>
      <c r="B36" s="327" t="s">
        <v>894</v>
      </c>
      <c r="C36" s="327" t="s">
        <v>895</v>
      </c>
      <c r="D36" s="327">
        <v>67076567</v>
      </c>
      <c r="E36" s="327"/>
      <c r="F36" s="327"/>
      <c r="G36" s="332" t="s">
        <v>896</v>
      </c>
    </row>
    <row r="37" spans="1:8" ht="14" x14ac:dyDescent="0.15">
      <c r="A37" s="326" t="s">
        <v>796</v>
      </c>
      <c r="B37" s="326" t="s">
        <v>530</v>
      </c>
      <c r="C37" s="327" t="s">
        <v>529</v>
      </c>
      <c r="D37" s="326">
        <v>8043233704</v>
      </c>
      <c r="E37" s="326"/>
      <c r="F37" s="326"/>
      <c r="G37" s="333" t="s">
        <v>531</v>
      </c>
    </row>
    <row r="38" spans="1:8" ht="14" x14ac:dyDescent="0.15">
      <c r="A38" s="324"/>
      <c r="B38" s="324" t="s">
        <v>897</v>
      </c>
      <c r="C38" s="324" t="s">
        <v>898</v>
      </c>
      <c r="D38" s="324">
        <v>9740545889</v>
      </c>
      <c r="E38" s="324" t="s">
        <v>1393</v>
      </c>
      <c r="F38" s="324"/>
      <c r="G38" s="334" t="s">
        <v>899</v>
      </c>
    </row>
    <row r="39" spans="1:8" ht="14" x14ac:dyDescent="0.15">
      <c r="A39" s="324"/>
      <c r="B39" s="340" t="s">
        <v>900</v>
      </c>
      <c r="C39" s="324"/>
      <c r="D39" s="340" t="s">
        <v>901</v>
      </c>
      <c r="E39" s="340" t="s">
        <v>1392</v>
      </c>
      <c r="F39" s="324"/>
      <c r="G39" s="341" t="s">
        <v>902</v>
      </c>
    </row>
    <row r="40" spans="1:8" ht="14" x14ac:dyDescent="0.15">
      <c r="A40" s="324"/>
      <c r="B40" s="324" t="s">
        <v>903</v>
      </c>
      <c r="C40" s="324" t="s">
        <v>904</v>
      </c>
      <c r="D40" s="324">
        <v>9945711990</v>
      </c>
      <c r="E40" s="324" t="s">
        <v>1394</v>
      </c>
      <c r="F40" s="324"/>
      <c r="G40" s="334" t="s">
        <v>905</v>
      </c>
    </row>
    <row r="41" spans="1:8" ht="14" x14ac:dyDescent="0.15">
      <c r="A41" s="326" t="s">
        <v>806</v>
      </c>
      <c r="B41" s="326" t="s">
        <v>330</v>
      </c>
      <c r="C41" s="326" t="s">
        <v>329</v>
      </c>
      <c r="D41" s="326">
        <v>9342504692</v>
      </c>
      <c r="E41" s="326" t="s">
        <v>1395</v>
      </c>
      <c r="F41" s="326"/>
      <c r="G41" s="326" t="s">
        <v>332</v>
      </c>
    </row>
    <row r="42" spans="1:8" ht="14" x14ac:dyDescent="0.15">
      <c r="A42" s="324"/>
      <c r="B42" s="324" t="s">
        <v>906</v>
      </c>
      <c r="C42" s="324" t="s">
        <v>907</v>
      </c>
      <c r="D42" s="324">
        <v>9845041030</v>
      </c>
      <c r="E42" s="324"/>
      <c r="F42" s="324"/>
      <c r="G42" s="334" t="s">
        <v>908</v>
      </c>
    </row>
    <row r="43" spans="1:8" ht="15" x14ac:dyDescent="0.2">
      <c r="A43" s="335" t="s">
        <v>806</v>
      </c>
      <c r="B43" s="326" t="s">
        <v>909</v>
      </c>
      <c r="C43" s="326" t="s">
        <v>910</v>
      </c>
      <c r="D43" s="326" t="s">
        <v>911</v>
      </c>
      <c r="E43" s="326"/>
      <c r="F43" s="326" t="s">
        <v>1404</v>
      </c>
      <c r="G43" s="332" t="s">
        <v>912</v>
      </c>
    </row>
    <row r="44" spans="1:8" ht="14" x14ac:dyDescent="0.15">
      <c r="A44" s="330" t="s">
        <v>806</v>
      </c>
      <c r="B44" s="330" t="s">
        <v>913</v>
      </c>
      <c r="C44" s="330" t="s">
        <v>914</v>
      </c>
      <c r="D44" s="330"/>
      <c r="E44" s="330" t="s">
        <v>915</v>
      </c>
      <c r="F44" s="330"/>
      <c r="G44" s="331" t="s">
        <v>916</v>
      </c>
    </row>
    <row r="45" spans="1:8" ht="15" x14ac:dyDescent="0.2">
      <c r="A45" s="327" t="s">
        <v>806</v>
      </c>
      <c r="B45" s="326" t="s">
        <v>917</v>
      </c>
      <c r="C45" s="326" t="s">
        <v>918</v>
      </c>
      <c r="D45" s="326">
        <v>9611127900</v>
      </c>
      <c r="E45" s="417" t="s">
        <v>1361</v>
      </c>
      <c r="F45" s="326"/>
      <c r="G45" s="326" t="s">
        <v>919</v>
      </c>
      <c r="H45" s="325">
        <v>450</v>
      </c>
    </row>
    <row r="46" spans="1:8" ht="15" x14ac:dyDescent="0.2">
      <c r="A46" s="335" t="s">
        <v>806</v>
      </c>
      <c r="B46" s="326" t="s">
        <v>920</v>
      </c>
      <c r="C46" s="326" t="s">
        <v>921</v>
      </c>
      <c r="D46" s="326">
        <v>9980000556</v>
      </c>
      <c r="E46" s="326" t="s">
        <v>1363</v>
      </c>
      <c r="F46" s="326" t="s">
        <v>1411</v>
      </c>
      <c r="G46" s="332" t="s">
        <v>922</v>
      </c>
      <c r="H46" s="325" t="s">
        <v>1411</v>
      </c>
    </row>
    <row r="47" spans="1:8" ht="15" x14ac:dyDescent="0.2">
      <c r="A47" s="324"/>
      <c r="B47" s="324" t="s">
        <v>923</v>
      </c>
      <c r="C47" s="324" t="s">
        <v>924</v>
      </c>
      <c r="D47" s="324" t="s">
        <v>925</v>
      </c>
      <c r="E47" s="324"/>
      <c r="F47" s="324"/>
      <c r="G47" s="332" t="s">
        <v>926</v>
      </c>
    </row>
    <row r="48" spans="1:8" ht="14" x14ac:dyDescent="0.15">
      <c r="A48" s="324"/>
      <c r="B48" s="340" t="s">
        <v>927</v>
      </c>
      <c r="C48" s="340" t="s">
        <v>924</v>
      </c>
      <c r="D48" s="340" t="s">
        <v>928</v>
      </c>
      <c r="E48" s="340"/>
      <c r="F48" s="324"/>
      <c r="G48" s="342" t="s">
        <v>929</v>
      </c>
    </row>
    <row r="49" spans="1:8" ht="14" x14ac:dyDescent="0.15">
      <c r="A49" s="335" t="s">
        <v>806</v>
      </c>
      <c r="B49" s="326" t="s">
        <v>930</v>
      </c>
      <c r="C49" s="326" t="s">
        <v>931</v>
      </c>
      <c r="D49" s="326">
        <v>8106470007</v>
      </c>
      <c r="E49" s="326" t="s">
        <v>1262</v>
      </c>
      <c r="F49" s="326" t="s">
        <v>1377</v>
      </c>
      <c r="G49" s="326" t="s">
        <v>932</v>
      </c>
      <c r="H49" s="325" t="s">
        <v>1378</v>
      </c>
    </row>
    <row r="50" spans="1:8" ht="14" x14ac:dyDescent="0.15">
      <c r="A50" s="324"/>
      <c r="B50" s="324" t="s">
        <v>933</v>
      </c>
      <c r="C50" s="324" t="s">
        <v>934</v>
      </c>
      <c r="D50" s="324">
        <v>9886040848</v>
      </c>
      <c r="E50" s="324"/>
      <c r="F50" s="324"/>
      <c r="G50" s="334" t="s">
        <v>935</v>
      </c>
    </row>
    <row r="51" spans="1:8" ht="14" x14ac:dyDescent="0.15">
      <c r="A51" s="330"/>
      <c r="B51" s="330" t="s">
        <v>495</v>
      </c>
      <c r="C51" s="330" t="s">
        <v>485</v>
      </c>
      <c r="D51" s="330">
        <v>9900260087</v>
      </c>
      <c r="E51" s="330" t="s">
        <v>1270</v>
      </c>
      <c r="F51" s="330"/>
      <c r="G51" s="331" t="s">
        <v>496</v>
      </c>
    </row>
    <row r="52" spans="1:8" ht="14" x14ac:dyDescent="0.15">
      <c r="A52" s="327" t="s">
        <v>806</v>
      </c>
      <c r="B52" s="327" t="s">
        <v>502</v>
      </c>
      <c r="C52" s="327" t="s">
        <v>500</v>
      </c>
      <c r="D52" s="327">
        <v>9945280407</v>
      </c>
      <c r="E52" s="327" t="s">
        <v>1262</v>
      </c>
      <c r="F52" s="327" t="s">
        <v>1379</v>
      </c>
      <c r="G52" s="328" t="s">
        <v>503</v>
      </c>
    </row>
    <row r="53" spans="1:8" s="453" customFormat="1" ht="14" x14ac:dyDescent="0.15">
      <c r="A53" s="451" t="s">
        <v>806</v>
      </c>
      <c r="B53" s="451" t="s">
        <v>73</v>
      </c>
      <c r="C53" s="451" t="s">
        <v>72</v>
      </c>
      <c r="D53" s="451" t="s">
        <v>936</v>
      </c>
      <c r="E53" s="451" t="s">
        <v>1364</v>
      </c>
      <c r="F53" s="451" t="s">
        <v>1365</v>
      </c>
      <c r="G53" s="460" t="s">
        <v>75</v>
      </c>
      <c r="H53" s="453" t="s">
        <v>1425</v>
      </c>
    </row>
    <row r="54" spans="1:8" ht="14" x14ac:dyDescent="0.15">
      <c r="A54" s="335" t="s">
        <v>806</v>
      </c>
      <c r="B54" s="326" t="s">
        <v>937</v>
      </c>
      <c r="C54" s="327" t="s">
        <v>938</v>
      </c>
      <c r="D54" s="326">
        <v>9886659561</v>
      </c>
      <c r="E54" s="326" t="s">
        <v>1270</v>
      </c>
      <c r="F54" s="326"/>
      <c r="G54" s="326" t="s">
        <v>939</v>
      </c>
    </row>
    <row r="55" spans="1:8" ht="14" x14ac:dyDescent="0.15">
      <c r="A55" s="335" t="s">
        <v>806</v>
      </c>
      <c r="B55" s="326" t="s">
        <v>940</v>
      </c>
      <c r="C55" s="326" t="s">
        <v>941</v>
      </c>
      <c r="D55" s="326">
        <v>9900541582</v>
      </c>
      <c r="E55" s="326" t="s">
        <v>1262</v>
      </c>
      <c r="F55" s="326"/>
      <c r="G55" s="343" t="s">
        <v>942</v>
      </c>
    </row>
    <row r="56" spans="1:8" ht="14" x14ac:dyDescent="0.15">
      <c r="A56" s="330" t="s">
        <v>806</v>
      </c>
      <c r="B56" s="330" t="s">
        <v>81</v>
      </c>
      <c r="C56" s="330" t="s">
        <v>80</v>
      </c>
      <c r="D56" s="330">
        <v>9980044525</v>
      </c>
      <c r="E56" s="330" t="s">
        <v>1366</v>
      </c>
      <c r="F56" s="330"/>
      <c r="G56" s="331" t="s">
        <v>584</v>
      </c>
    </row>
    <row r="57" spans="1:8" ht="15" x14ac:dyDescent="0.2">
      <c r="A57" s="324"/>
      <c r="B57" s="324" t="s">
        <v>943</v>
      </c>
      <c r="C57" s="324" t="s">
        <v>944</v>
      </c>
      <c r="D57" s="324">
        <v>9740122511</v>
      </c>
      <c r="E57" s="324" t="s">
        <v>1367</v>
      </c>
      <c r="F57" s="324"/>
      <c r="G57" s="332" t="s">
        <v>945</v>
      </c>
    </row>
    <row r="58" spans="1:8" ht="14" x14ac:dyDescent="0.15">
      <c r="A58" s="324"/>
      <c r="B58" s="324" t="s">
        <v>946</v>
      </c>
      <c r="C58" s="324" t="s">
        <v>947</v>
      </c>
      <c r="D58" s="324">
        <v>9686694256</v>
      </c>
      <c r="E58" s="324"/>
      <c r="F58" s="324"/>
      <c r="G58" s="334" t="s">
        <v>948</v>
      </c>
    </row>
    <row r="59" spans="1:8" ht="14" x14ac:dyDescent="0.15">
      <c r="A59" s="327" t="s">
        <v>806</v>
      </c>
      <c r="B59" s="327" t="s">
        <v>949</v>
      </c>
      <c r="C59" s="327" t="s">
        <v>950</v>
      </c>
      <c r="D59" s="327">
        <v>9008611667</v>
      </c>
      <c r="E59" s="327" t="s">
        <v>1262</v>
      </c>
      <c r="F59" s="327"/>
      <c r="G59" s="333" t="s">
        <v>951</v>
      </c>
    </row>
    <row r="60" spans="1:8" ht="14" x14ac:dyDescent="0.15">
      <c r="A60" s="327" t="s">
        <v>806</v>
      </c>
      <c r="B60" s="327" t="s">
        <v>952</v>
      </c>
      <c r="C60" s="327" t="s">
        <v>953</v>
      </c>
      <c r="D60" s="327" t="s">
        <v>954</v>
      </c>
      <c r="E60" s="336" t="s">
        <v>955</v>
      </c>
      <c r="F60" s="336"/>
      <c r="G60" s="333" t="s">
        <v>956</v>
      </c>
    </row>
    <row r="61" spans="1:8" ht="14" x14ac:dyDescent="0.15">
      <c r="A61" s="344" t="s">
        <v>806</v>
      </c>
      <c r="B61" s="327" t="s">
        <v>209</v>
      </c>
      <c r="C61" s="345" t="s">
        <v>957</v>
      </c>
      <c r="D61" s="346">
        <v>9972096370</v>
      </c>
      <c r="E61" s="346" t="s">
        <v>1262</v>
      </c>
      <c r="F61" s="346"/>
      <c r="G61" s="333" t="s">
        <v>211</v>
      </c>
    </row>
    <row r="62" spans="1:8" ht="14" x14ac:dyDescent="0.15">
      <c r="A62" s="327"/>
      <c r="B62" s="327" t="s">
        <v>958</v>
      </c>
      <c r="C62" s="327" t="s">
        <v>959</v>
      </c>
      <c r="D62" s="326" t="s">
        <v>960</v>
      </c>
      <c r="E62" s="326"/>
      <c r="F62" s="326"/>
      <c r="G62" s="326" t="s">
        <v>961</v>
      </c>
    </row>
    <row r="63" spans="1:8" ht="14" x14ac:dyDescent="0.15">
      <c r="A63" s="324"/>
      <c r="B63" s="324" t="s">
        <v>962</v>
      </c>
      <c r="C63" s="324" t="s">
        <v>963</v>
      </c>
      <c r="D63" s="324">
        <v>9886130088</v>
      </c>
      <c r="E63" s="324"/>
      <c r="F63" s="324"/>
      <c r="G63" s="334" t="s">
        <v>964</v>
      </c>
    </row>
    <row r="64" spans="1:8" ht="14" x14ac:dyDescent="0.15">
      <c r="A64" s="337" t="s">
        <v>806</v>
      </c>
      <c r="B64" s="327" t="s">
        <v>965</v>
      </c>
      <c r="C64" s="327" t="s">
        <v>966</v>
      </c>
      <c r="D64" s="327">
        <v>9900510052</v>
      </c>
      <c r="E64" s="327" t="s">
        <v>1426</v>
      </c>
      <c r="F64" s="327"/>
      <c r="G64" s="333" t="s">
        <v>967</v>
      </c>
    </row>
    <row r="65" spans="1:9" ht="14" x14ac:dyDescent="0.15">
      <c r="A65" s="451" t="s">
        <v>806</v>
      </c>
      <c r="B65" s="451" t="s">
        <v>256</v>
      </c>
      <c r="C65" s="451" t="s">
        <v>968</v>
      </c>
      <c r="D65" s="451">
        <v>9620752222</v>
      </c>
      <c r="E65" s="451" t="s">
        <v>1368</v>
      </c>
      <c r="F65" s="451" t="s">
        <v>1385</v>
      </c>
      <c r="G65" s="452" t="s">
        <v>257</v>
      </c>
      <c r="H65" s="453" t="s">
        <v>1262</v>
      </c>
      <c r="I65" s="453"/>
    </row>
    <row r="66" spans="1:9" ht="14" x14ac:dyDescent="0.15">
      <c r="A66" s="448" t="s">
        <v>806</v>
      </c>
      <c r="B66" s="448" t="s">
        <v>254</v>
      </c>
      <c r="C66" s="448" t="s">
        <v>968</v>
      </c>
      <c r="D66" s="448">
        <v>9845300269</v>
      </c>
      <c r="E66" s="448" t="s">
        <v>1262</v>
      </c>
      <c r="F66" s="448" t="s">
        <v>1386</v>
      </c>
      <c r="G66" s="449" t="s">
        <v>255</v>
      </c>
      <c r="H66" s="450" t="s">
        <v>1376</v>
      </c>
    </row>
    <row r="67" spans="1:9" ht="14" x14ac:dyDescent="0.15">
      <c r="A67" s="326"/>
      <c r="B67" s="347" t="s">
        <v>969</v>
      </c>
      <c r="C67" s="326" t="s">
        <v>970</v>
      </c>
      <c r="D67" s="347" t="s">
        <v>971</v>
      </c>
      <c r="E67" s="326"/>
      <c r="F67" s="326"/>
      <c r="G67" s="347" t="s">
        <v>972</v>
      </c>
    </row>
    <row r="68" spans="1:9" ht="14" x14ac:dyDescent="0.15">
      <c r="A68" s="326"/>
      <c r="B68" s="347" t="s">
        <v>973</v>
      </c>
      <c r="C68" s="326" t="s">
        <v>970</v>
      </c>
      <c r="D68" s="347" t="s">
        <v>974</v>
      </c>
      <c r="E68" s="326"/>
      <c r="F68" s="326"/>
      <c r="G68" s="347" t="s">
        <v>975</v>
      </c>
    </row>
    <row r="69" spans="1:9" ht="14" x14ac:dyDescent="0.15">
      <c r="A69" s="326"/>
      <c r="B69" s="347" t="s">
        <v>976</v>
      </c>
      <c r="C69" s="326" t="s">
        <v>970</v>
      </c>
      <c r="D69" s="347" t="s">
        <v>977</v>
      </c>
      <c r="E69" s="326"/>
      <c r="F69" s="326"/>
      <c r="G69" s="347" t="s">
        <v>978</v>
      </c>
    </row>
    <row r="70" spans="1:9" ht="14" x14ac:dyDescent="0.15">
      <c r="A70" s="327"/>
      <c r="B70" s="327" t="s">
        <v>979</v>
      </c>
      <c r="C70" s="327" t="s">
        <v>980</v>
      </c>
      <c r="D70" s="327">
        <v>9900087005</v>
      </c>
      <c r="E70" s="327"/>
      <c r="F70" s="327"/>
      <c r="G70" s="326" t="s">
        <v>981</v>
      </c>
      <c r="H70" s="325" t="s">
        <v>1380</v>
      </c>
    </row>
    <row r="71" spans="1:9" ht="15" x14ac:dyDescent="0.2">
      <c r="A71" s="327"/>
      <c r="B71" s="327" t="s">
        <v>283</v>
      </c>
      <c r="C71" s="327" t="s">
        <v>279</v>
      </c>
      <c r="D71" s="327">
        <v>9885429292</v>
      </c>
      <c r="E71" s="417" t="s">
        <v>1362</v>
      </c>
      <c r="F71" s="327"/>
      <c r="G71" s="333" t="s">
        <v>284</v>
      </c>
    </row>
    <row r="72" spans="1:9" ht="15" x14ac:dyDescent="0.15">
      <c r="A72" s="330" t="s">
        <v>806</v>
      </c>
      <c r="B72" s="330" t="s">
        <v>982</v>
      </c>
      <c r="C72" s="330" t="s">
        <v>983</v>
      </c>
      <c r="D72" s="330" t="s">
        <v>984</v>
      </c>
      <c r="E72" s="446" t="s">
        <v>1369</v>
      </c>
      <c r="F72" s="330"/>
      <c r="G72" s="331" t="s">
        <v>985</v>
      </c>
    </row>
    <row r="73" spans="1:9" ht="14" x14ac:dyDescent="0.15">
      <c r="A73" s="327" t="s">
        <v>796</v>
      </c>
      <c r="B73" s="327" t="s">
        <v>986</v>
      </c>
      <c r="C73" s="327" t="s">
        <v>987</v>
      </c>
      <c r="D73" s="327">
        <v>9886276280</v>
      </c>
      <c r="E73" s="327" t="s">
        <v>1370</v>
      </c>
      <c r="F73" s="327"/>
      <c r="G73" s="333" t="s">
        <v>988</v>
      </c>
    </row>
    <row r="74" spans="1:9" ht="15" x14ac:dyDescent="0.2">
      <c r="A74" s="454" t="s">
        <v>806</v>
      </c>
      <c r="B74" s="454" t="s">
        <v>989</v>
      </c>
      <c r="C74" s="454" t="s">
        <v>834</v>
      </c>
      <c r="D74" s="327">
        <v>7259141005</v>
      </c>
      <c r="E74" s="327">
        <v>7022180101</v>
      </c>
      <c r="F74" s="327" t="s">
        <v>1371</v>
      </c>
      <c r="G74" s="333" t="s">
        <v>990</v>
      </c>
      <c r="H74" s="447" t="s">
        <v>1372</v>
      </c>
    </row>
    <row r="75" spans="1:9" ht="14" x14ac:dyDescent="0.15">
      <c r="A75" s="327" t="s">
        <v>806</v>
      </c>
      <c r="B75" s="327" t="s">
        <v>306</v>
      </c>
      <c r="C75" s="327" t="s">
        <v>991</v>
      </c>
      <c r="D75" s="327">
        <v>9880187999</v>
      </c>
      <c r="E75" s="327"/>
      <c r="F75" s="327"/>
      <c r="G75" s="333" t="s">
        <v>992</v>
      </c>
    </row>
    <row r="76" spans="1:9" ht="14" x14ac:dyDescent="0.15">
      <c r="A76" s="327" t="s">
        <v>796</v>
      </c>
      <c r="B76" s="327" t="s">
        <v>336</v>
      </c>
      <c r="C76" s="327" t="s">
        <v>993</v>
      </c>
      <c r="D76" s="327">
        <v>9901899554</v>
      </c>
      <c r="E76" s="327" t="s">
        <v>1374</v>
      </c>
      <c r="F76" s="327"/>
      <c r="G76" s="333" t="s">
        <v>337</v>
      </c>
      <c r="H76" s="325" t="s">
        <v>1373</v>
      </c>
    </row>
    <row r="77" spans="1:9" ht="14" x14ac:dyDescent="0.15">
      <c r="A77" s="327" t="s">
        <v>796</v>
      </c>
      <c r="B77" s="327" t="s">
        <v>994</v>
      </c>
      <c r="C77" s="327" t="s">
        <v>342</v>
      </c>
      <c r="D77" s="337">
        <v>9880017294</v>
      </c>
      <c r="E77" s="337" t="s">
        <v>1384</v>
      </c>
      <c r="F77" s="337" t="s">
        <v>1382</v>
      </c>
      <c r="G77" s="333" t="s">
        <v>346</v>
      </c>
      <c r="H77" s="325" t="s">
        <v>1381</v>
      </c>
    </row>
    <row r="78" spans="1:9" ht="14" x14ac:dyDescent="0.15">
      <c r="A78" s="326"/>
      <c r="B78" s="326" t="s">
        <v>995</v>
      </c>
      <c r="C78" s="326" t="s">
        <v>996</v>
      </c>
      <c r="D78" s="326">
        <v>9900355889</v>
      </c>
      <c r="E78" s="326"/>
      <c r="F78" s="326"/>
      <c r="G78" s="326" t="s">
        <v>997</v>
      </c>
    </row>
    <row r="79" spans="1:9" ht="14" x14ac:dyDescent="0.15">
      <c r="A79" s="326" t="s">
        <v>806</v>
      </c>
      <c r="B79" s="326" t="s">
        <v>998</v>
      </c>
      <c r="C79" s="326" t="s">
        <v>412</v>
      </c>
      <c r="D79" s="326">
        <v>9945048004</v>
      </c>
      <c r="E79" s="326" t="s">
        <v>1370</v>
      </c>
      <c r="F79" s="326"/>
      <c r="G79" s="333" t="s">
        <v>417</v>
      </c>
      <c r="H79" s="325" t="s">
        <v>1383</v>
      </c>
    </row>
    <row r="80" spans="1:9" ht="14" x14ac:dyDescent="0.15">
      <c r="A80" s="326"/>
      <c r="B80" s="326" t="s">
        <v>999</v>
      </c>
      <c r="C80" s="326" t="s">
        <v>1000</v>
      </c>
      <c r="D80" s="326">
        <v>7259035392</v>
      </c>
      <c r="E80" s="326" t="s">
        <v>1396</v>
      </c>
      <c r="F80" s="326" t="s">
        <v>1397</v>
      </c>
      <c r="G80" s="326" t="s">
        <v>1001</v>
      </c>
    </row>
    <row r="81" spans="1:11" ht="14" x14ac:dyDescent="0.15">
      <c r="A81" s="327" t="s">
        <v>806</v>
      </c>
      <c r="B81" s="327" t="s">
        <v>459</v>
      </c>
      <c r="C81" s="327" t="s">
        <v>63</v>
      </c>
      <c r="D81" s="327">
        <v>9845024513</v>
      </c>
      <c r="E81" s="327"/>
      <c r="F81" s="327"/>
      <c r="G81" s="348" t="s">
        <v>1002</v>
      </c>
    </row>
    <row r="82" spans="1:11" ht="14" x14ac:dyDescent="0.15">
      <c r="A82" s="324"/>
      <c r="B82" s="324" t="s">
        <v>1003</v>
      </c>
      <c r="C82" s="324" t="s">
        <v>1004</v>
      </c>
      <c r="D82" s="324">
        <v>7760984498</v>
      </c>
      <c r="E82" s="324" t="s">
        <v>1375</v>
      </c>
      <c r="F82" s="324" t="s">
        <v>1427</v>
      </c>
      <c r="G82" s="324" t="s">
        <v>1005</v>
      </c>
    </row>
    <row r="83" spans="1:11" ht="15" x14ac:dyDescent="0.2">
      <c r="A83" s="327" t="s">
        <v>806</v>
      </c>
      <c r="B83" s="327" t="s">
        <v>1006</v>
      </c>
      <c r="C83" s="327" t="s">
        <v>1007</v>
      </c>
      <c r="D83" s="328" t="s">
        <v>1008</v>
      </c>
      <c r="E83" s="328"/>
      <c r="F83" s="328" t="s">
        <v>1399</v>
      </c>
      <c r="G83" s="326" t="s">
        <v>1009</v>
      </c>
      <c r="H83" s="447" t="s">
        <v>1398</v>
      </c>
    </row>
    <row r="84" spans="1:11" ht="14" x14ac:dyDescent="0.15">
      <c r="A84" s="326" t="s">
        <v>796</v>
      </c>
      <c r="B84" s="330" t="s">
        <v>1010</v>
      </c>
      <c r="C84" s="330" t="s">
        <v>1011</v>
      </c>
      <c r="D84" s="330"/>
      <c r="E84" s="326"/>
      <c r="F84" s="326"/>
      <c r="G84" s="331" t="s">
        <v>1012</v>
      </c>
    </row>
    <row r="85" spans="1:11" ht="14" x14ac:dyDescent="0.15">
      <c r="A85" s="335" t="s">
        <v>806</v>
      </c>
      <c r="B85" s="326" t="s">
        <v>466</v>
      </c>
      <c r="C85" s="326" t="s">
        <v>1013</v>
      </c>
      <c r="D85" s="326">
        <v>9901533777</v>
      </c>
      <c r="E85" s="326" t="s">
        <v>1370</v>
      </c>
      <c r="F85" s="326"/>
      <c r="G85" s="343" t="s">
        <v>467</v>
      </c>
    </row>
    <row r="86" spans="1:11" ht="14" x14ac:dyDescent="0.15">
      <c r="A86" s="327" t="s">
        <v>806</v>
      </c>
      <c r="B86" s="326" t="s">
        <v>466</v>
      </c>
      <c r="C86" s="326" t="s">
        <v>1013</v>
      </c>
      <c r="D86" s="326">
        <v>9901533777</v>
      </c>
      <c r="E86" s="326" t="s">
        <v>1412</v>
      </c>
      <c r="F86" s="326"/>
      <c r="G86" s="326" t="s">
        <v>467</v>
      </c>
    </row>
    <row r="87" spans="1:11" ht="14" x14ac:dyDescent="0.15">
      <c r="A87" s="327" t="s">
        <v>806</v>
      </c>
      <c r="B87" s="326" t="s">
        <v>1014</v>
      </c>
      <c r="C87" s="326" t="s">
        <v>1015</v>
      </c>
      <c r="D87" s="326">
        <v>9900546679</v>
      </c>
      <c r="E87" s="326" t="s">
        <v>1262</v>
      </c>
      <c r="F87" s="326"/>
      <c r="G87" s="326" t="s">
        <v>1016</v>
      </c>
    </row>
    <row r="88" spans="1:11" ht="14" x14ac:dyDescent="0.15">
      <c r="A88" s="327" t="s">
        <v>796</v>
      </c>
      <c r="B88" s="327" t="s">
        <v>483</v>
      </c>
      <c r="C88" s="327" t="s">
        <v>71</v>
      </c>
      <c r="D88" s="327">
        <v>9886370029</v>
      </c>
      <c r="E88" s="327" t="s">
        <v>1400</v>
      </c>
      <c r="F88" s="327" t="s">
        <v>1262</v>
      </c>
      <c r="G88" s="328" t="s">
        <v>484</v>
      </c>
    </row>
    <row r="89" spans="1:11" ht="14" x14ac:dyDescent="0.15">
      <c r="A89" s="330" t="s">
        <v>806</v>
      </c>
      <c r="B89" s="330" t="s">
        <v>1017</v>
      </c>
      <c r="C89" s="330" t="s">
        <v>1018</v>
      </c>
      <c r="D89" s="330"/>
      <c r="E89" s="330" t="s">
        <v>1019</v>
      </c>
      <c r="F89" s="330"/>
      <c r="G89" s="331" t="s">
        <v>1020</v>
      </c>
    </row>
    <row r="90" spans="1:11" ht="14" x14ac:dyDescent="0.15">
      <c r="A90" s="327" t="s">
        <v>806</v>
      </c>
      <c r="B90" s="327" t="s">
        <v>591</v>
      </c>
      <c r="C90" s="327" t="s">
        <v>76</v>
      </c>
      <c r="D90" s="327">
        <v>9980166408</v>
      </c>
      <c r="E90" s="327"/>
      <c r="F90" s="327"/>
      <c r="G90" s="328" t="s">
        <v>592</v>
      </c>
    </row>
    <row r="91" spans="1:11" ht="14" x14ac:dyDescent="0.15">
      <c r="A91" s="327" t="s">
        <v>806</v>
      </c>
      <c r="B91" s="327" t="s">
        <v>519</v>
      </c>
      <c r="C91" s="327" t="s">
        <v>518</v>
      </c>
      <c r="D91" s="327">
        <v>9886209383</v>
      </c>
      <c r="E91" s="327"/>
      <c r="F91" s="327"/>
      <c r="G91" s="328" t="s">
        <v>520</v>
      </c>
    </row>
    <row r="92" spans="1:11" ht="14" x14ac:dyDescent="0.15">
      <c r="A92" s="327" t="s">
        <v>806</v>
      </c>
      <c r="B92" s="327" t="s">
        <v>521</v>
      </c>
      <c r="C92" s="327" t="s">
        <v>518</v>
      </c>
      <c r="D92" s="327">
        <v>9008199700</v>
      </c>
      <c r="E92" s="327"/>
      <c r="F92" s="327"/>
      <c r="G92" s="328" t="s">
        <v>523</v>
      </c>
    </row>
    <row r="93" spans="1:11" ht="14" x14ac:dyDescent="0.15">
      <c r="A93" s="327" t="s">
        <v>806</v>
      </c>
      <c r="B93" s="327" t="s">
        <v>1021</v>
      </c>
      <c r="C93" s="327" t="s">
        <v>1022</v>
      </c>
      <c r="D93" s="327">
        <v>9611105368</v>
      </c>
      <c r="E93" s="327"/>
      <c r="F93" s="327"/>
      <c r="G93" s="349" t="s">
        <v>1023</v>
      </c>
      <c r="H93" s="325" t="s">
        <v>1405</v>
      </c>
    </row>
    <row r="94" spans="1:11" s="465" customFormat="1" ht="15" x14ac:dyDescent="0.2">
      <c r="A94" s="461"/>
      <c r="B94" s="461" t="s">
        <v>1024</v>
      </c>
      <c r="C94" s="462" t="s">
        <v>1015</v>
      </c>
      <c r="D94" s="462" t="s">
        <v>1414</v>
      </c>
      <c r="E94" s="462">
        <v>7022000243</v>
      </c>
      <c r="F94" s="463" t="s">
        <v>1413</v>
      </c>
      <c r="G94" s="464" t="s">
        <v>1415</v>
      </c>
    </row>
    <row r="95" spans="1:11" ht="14" x14ac:dyDescent="0.15">
      <c r="A95" s="324" t="s">
        <v>796</v>
      </c>
      <c r="B95" s="340" t="s">
        <v>1025</v>
      </c>
      <c r="C95" s="350" t="s">
        <v>1026</v>
      </c>
      <c r="D95" s="350"/>
      <c r="E95" s="350"/>
      <c r="F95" s="351"/>
      <c r="G95" s="351" t="s">
        <v>1027</v>
      </c>
    </row>
    <row r="96" spans="1:11" ht="14" x14ac:dyDescent="0.15">
      <c r="A96" s="327" t="s">
        <v>796</v>
      </c>
      <c r="B96" s="327" t="s">
        <v>1028</v>
      </c>
      <c r="C96" s="337" t="s">
        <v>1029</v>
      </c>
      <c r="D96" s="326"/>
      <c r="E96" s="326" t="s">
        <v>1030</v>
      </c>
      <c r="F96" s="326"/>
      <c r="G96" s="326" t="s">
        <v>1031</v>
      </c>
      <c r="H96" s="325" t="s">
        <v>1391</v>
      </c>
      <c r="K96" s="325" t="s">
        <v>1022</v>
      </c>
    </row>
    <row r="97" spans="1:8" ht="14" x14ac:dyDescent="0.15">
      <c r="A97" s="326" t="s">
        <v>806</v>
      </c>
      <c r="B97" s="327" t="s">
        <v>1032</v>
      </c>
      <c r="C97" s="327" t="s">
        <v>1033</v>
      </c>
      <c r="D97" s="327">
        <v>9845905164</v>
      </c>
      <c r="E97" s="326" t="s">
        <v>1262</v>
      </c>
      <c r="F97" s="326"/>
      <c r="G97" s="326"/>
    </row>
    <row r="98" spans="1:8" ht="14" x14ac:dyDescent="0.15">
      <c r="A98" s="330" t="s">
        <v>806</v>
      </c>
      <c r="B98" s="326" t="s">
        <v>274</v>
      </c>
      <c r="C98" s="327" t="s">
        <v>1034</v>
      </c>
      <c r="D98" s="326">
        <v>9886892901</v>
      </c>
      <c r="E98" s="326" t="s">
        <v>1402</v>
      </c>
      <c r="F98" s="326" t="s">
        <v>1403</v>
      </c>
      <c r="G98" s="343" t="s">
        <v>275</v>
      </c>
    </row>
    <row r="99" spans="1:8" ht="14" x14ac:dyDescent="0.15">
      <c r="A99" s="327" t="s">
        <v>796</v>
      </c>
      <c r="B99" s="327" t="s">
        <v>1035</v>
      </c>
      <c r="C99" s="327" t="s">
        <v>1036</v>
      </c>
      <c r="D99" s="327">
        <v>9986307314</v>
      </c>
      <c r="E99" s="327" t="s">
        <v>1401</v>
      </c>
      <c r="F99" s="327"/>
      <c r="G99" s="328" t="s">
        <v>1037</v>
      </c>
    </row>
    <row r="100" spans="1:8" ht="15" x14ac:dyDescent="0.2">
      <c r="A100" s="335" t="s">
        <v>806</v>
      </c>
      <c r="B100" s="326" t="s">
        <v>1038</v>
      </c>
      <c r="C100" s="326" t="s">
        <v>1039</v>
      </c>
      <c r="D100" s="326">
        <v>9886152515</v>
      </c>
      <c r="E100" s="326" t="s">
        <v>1375</v>
      </c>
      <c r="F100" s="326"/>
      <c r="G100" s="332" t="s">
        <v>1040</v>
      </c>
    </row>
    <row r="101" spans="1:8" ht="14" x14ac:dyDescent="0.15">
      <c r="A101" s="327" t="s">
        <v>806</v>
      </c>
      <c r="B101" s="327" t="s">
        <v>1041</v>
      </c>
      <c r="C101" s="327" t="s">
        <v>980</v>
      </c>
      <c r="D101" s="327">
        <v>9632500222</v>
      </c>
      <c r="E101" s="327"/>
      <c r="F101" s="327"/>
      <c r="G101" s="326" t="s">
        <v>1042</v>
      </c>
    </row>
    <row r="102" spans="1:8" ht="14" x14ac:dyDescent="0.15">
      <c r="A102" s="335" t="s">
        <v>806</v>
      </c>
      <c r="B102" s="326" t="s">
        <v>1043</v>
      </c>
      <c r="C102" s="326" t="s">
        <v>1044</v>
      </c>
      <c r="D102" s="326">
        <v>9538929990</v>
      </c>
      <c r="E102" s="326"/>
      <c r="F102" s="326"/>
      <c r="G102" s="326" t="s">
        <v>1045</v>
      </c>
    </row>
    <row r="103" spans="1:8" ht="14" x14ac:dyDescent="0.15">
      <c r="A103" s="330" t="s">
        <v>806</v>
      </c>
      <c r="B103" s="330" t="s">
        <v>1046</v>
      </c>
      <c r="C103" s="330" t="s">
        <v>1047</v>
      </c>
      <c r="D103" s="331">
        <v>9880105102</v>
      </c>
      <c r="E103" s="331" t="s">
        <v>1262</v>
      </c>
      <c r="F103" s="331" t="s">
        <v>1416</v>
      </c>
      <c r="G103" s="331" t="s">
        <v>1048</v>
      </c>
      <c r="H103" s="325">
        <v>41092000</v>
      </c>
    </row>
    <row r="104" spans="1:8" ht="15" x14ac:dyDescent="0.2">
      <c r="A104" s="327" t="s">
        <v>806</v>
      </c>
      <c r="B104" s="326" t="s">
        <v>1038</v>
      </c>
      <c r="C104" s="326" t="s">
        <v>1039</v>
      </c>
      <c r="D104" s="326">
        <v>9886152515</v>
      </c>
      <c r="E104" s="326" t="s">
        <v>1409</v>
      </c>
      <c r="F104" s="326"/>
      <c r="G104" s="332" t="s">
        <v>1040</v>
      </c>
    </row>
    <row r="105" spans="1:8" ht="14" x14ac:dyDescent="0.15">
      <c r="A105" s="324"/>
      <c r="B105" s="340" t="s">
        <v>1049</v>
      </c>
      <c r="C105" s="324" t="s">
        <v>924</v>
      </c>
      <c r="D105" s="340" t="s">
        <v>1050</v>
      </c>
      <c r="E105" s="340"/>
      <c r="F105" s="324"/>
      <c r="G105" s="352" t="s">
        <v>1051</v>
      </c>
    </row>
    <row r="106" spans="1:8" ht="14" x14ac:dyDescent="0.15">
      <c r="A106" s="335" t="s">
        <v>806</v>
      </c>
      <c r="B106" s="326" t="s">
        <v>1052</v>
      </c>
      <c r="C106" s="326" t="s">
        <v>1053</v>
      </c>
      <c r="D106" s="326" t="s">
        <v>1054</v>
      </c>
      <c r="E106" s="326"/>
      <c r="F106" s="326" t="s">
        <v>1055</v>
      </c>
      <c r="G106" s="326" t="s">
        <v>1056</v>
      </c>
    </row>
    <row r="107" spans="1:8" ht="14" x14ac:dyDescent="0.15">
      <c r="A107" s="327"/>
      <c r="B107" s="327" t="s">
        <v>1057</v>
      </c>
      <c r="C107" s="327" t="s">
        <v>950</v>
      </c>
      <c r="D107" s="327"/>
      <c r="E107" s="327"/>
      <c r="F107" s="327"/>
      <c r="G107" s="333"/>
    </row>
    <row r="108" spans="1:8" ht="14" x14ac:dyDescent="0.15">
      <c r="A108" s="324"/>
      <c r="B108" s="324" t="s">
        <v>1058</v>
      </c>
      <c r="C108" s="324" t="s">
        <v>1059</v>
      </c>
      <c r="D108" s="324"/>
      <c r="E108" s="324"/>
      <c r="F108" s="324"/>
      <c r="G108" s="324" t="s">
        <v>1060</v>
      </c>
    </row>
    <row r="109" spans="1:8" ht="14" x14ac:dyDescent="0.15">
      <c r="A109" s="327"/>
      <c r="B109" s="327" t="s">
        <v>1061</v>
      </c>
      <c r="C109" s="327" t="s">
        <v>1044</v>
      </c>
      <c r="D109" s="327"/>
      <c r="E109" s="327"/>
      <c r="F109" s="327"/>
      <c r="G109" s="327"/>
    </row>
    <row r="110" spans="1:8" ht="14" x14ac:dyDescent="0.15">
      <c r="A110" s="327"/>
      <c r="B110" s="327" t="s">
        <v>1062</v>
      </c>
      <c r="C110" s="327" t="s">
        <v>1044</v>
      </c>
      <c r="D110" s="327"/>
      <c r="E110" s="327"/>
      <c r="F110" s="327"/>
      <c r="G110" s="327"/>
    </row>
    <row r="111" spans="1:8" ht="14" x14ac:dyDescent="0.15">
      <c r="A111" s="330" t="s">
        <v>806</v>
      </c>
      <c r="B111" s="330" t="s">
        <v>1063</v>
      </c>
      <c r="C111" s="330" t="s">
        <v>1064</v>
      </c>
      <c r="D111" s="326"/>
      <c r="E111" s="326"/>
      <c r="F111" s="326"/>
      <c r="G111" s="331" t="s">
        <v>1065</v>
      </c>
    </row>
    <row r="112" spans="1:8" ht="14" x14ac:dyDescent="0.15">
      <c r="A112" s="327" t="s">
        <v>806</v>
      </c>
      <c r="B112" s="327" t="s">
        <v>570</v>
      </c>
      <c r="C112" s="327" t="s">
        <v>569</v>
      </c>
      <c r="D112" s="327"/>
      <c r="E112" s="327"/>
      <c r="F112" s="327"/>
      <c r="G112" s="328" t="s">
        <v>572</v>
      </c>
    </row>
    <row r="113" spans="1:7" ht="14" x14ac:dyDescent="0.15">
      <c r="A113" s="327" t="s">
        <v>806</v>
      </c>
      <c r="B113" s="327" t="s">
        <v>1066</v>
      </c>
      <c r="C113" s="327" t="s">
        <v>1067</v>
      </c>
      <c r="D113" s="349">
        <v>9740533771</v>
      </c>
      <c r="E113" s="349" t="s">
        <v>1290</v>
      </c>
      <c r="F113" s="349"/>
      <c r="G113" s="349" t="s">
        <v>1068</v>
      </c>
    </row>
    <row r="114" spans="1:7" ht="14" x14ac:dyDescent="0.15">
      <c r="A114" s="327" t="s">
        <v>806</v>
      </c>
      <c r="B114" s="327" t="s">
        <v>135</v>
      </c>
      <c r="C114" s="327" t="s">
        <v>1069</v>
      </c>
      <c r="D114" s="327" t="s">
        <v>1070</v>
      </c>
      <c r="E114" s="327"/>
      <c r="F114" s="327"/>
      <c r="G114" s="349" t="s">
        <v>137</v>
      </c>
    </row>
    <row r="115" spans="1:7" s="353" customFormat="1" ht="14" x14ac:dyDescent="0.15">
      <c r="A115" s="326" t="s">
        <v>796</v>
      </c>
      <c r="B115" s="326" t="s">
        <v>1071</v>
      </c>
      <c r="C115" s="326" t="s">
        <v>1072</v>
      </c>
      <c r="D115" s="326">
        <v>9845034699</v>
      </c>
      <c r="E115" s="326"/>
      <c r="F115" s="326"/>
      <c r="G115" s="333" t="s">
        <v>1073</v>
      </c>
    </row>
    <row r="116" spans="1:7" ht="14" x14ac:dyDescent="0.15">
      <c r="A116" s="330" t="s">
        <v>806</v>
      </c>
      <c r="B116" s="330" t="s">
        <v>1074</v>
      </c>
      <c r="C116" s="327" t="s">
        <v>819</v>
      </c>
      <c r="D116" s="330">
        <v>9980504887</v>
      </c>
      <c r="E116" s="466" t="s">
        <v>1417</v>
      </c>
      <c r="F116" s="330"/>
      <c r="G116" s="331" t="s">
        <v>161</v>
      </c>
    </row>
    <row r="117" spans="1:7" ht="14" x14ac:dyDescent="0.15">
      <c r="A117" s="327" t="s">
        <v>806</v>
      </c>
      <c r="B117" s="327" t="s">
        <v>168</v>
      </c>
      <c r="C117" s="327" t="s">
        <v>167</v>
      </c>
      <c r="D117" s="327">
        <v>9980899688</v>
      </c>
      <c r="E117" s="327"/>
      <c r="F117" s="327"/>
      <c r="G117" s="328" t="s">
        <v>169</v>
      </c>
    </row>
    <row r="118" spans="1:7" ht="14" x14ac:dyDescent="0.15">
      <c r="A118" s="327" t="s">
        <v>806</v>
      </c>
      <c r="B118" s="327" t="s">
        <v>15</v>
      </c>
      <c r="C118" s="327" t="s">
        <v>14</v>
      </c>
      <c r="D118" s="327">
        <v>9900176207</v>
      </c>
      <c r="E118" s="327" t="s">
        <v>1075</v>
      </c>
      <c r="F118" s="327"/>
      <c r="G118" s="328" t="s">
        <v>184</v>
      </c>
    </row>
    <row r="119" spans="1:7" ht="14" x14ac:dyDescent="0.15">
      <c r="A119" s="327" t="s">
        <v>796</v>
      </c>
      <c r="B119" s="326" t="s">
        <v>822</v>
      </c>
      <c r="C119" s="327" t="s">
        <v>18</v>
      </c>
      <c r="D119" s="327"/>
      <c r="E119" s="336" t="s">
        <v>955</v>
      </c>
      <c r="F119" s="336" t="s">
        <v>824</v>
      </c>
      <c r="G119" s="326" t="s">
        <v>825</v>
      </c>
    </row>
    <row r="120" spans="1:7" ht="14" x14ac:dyDescent="0.15">
      <c r="A120" s="327" t="s">
        <v>806</v>
      </c>
      <c r="B120" s="327" t="s">
        <v>196</v>
      </c>
      <c r="C120" s="327" t="s">
        <v>1076</v>
      </c>
      <c r="D120" s="327">
        <v>49146016</v>
      </c>
      <c r="E120" s="327"/>
      <c r="F120" s="327"/>
      <c r="G120" s="328" t="s">
        <v>198</v>
      </c>
    </row>
    <row r="121" spans="1:7" s="353" customFormat="1" ht="14" x14ac:dyDescent="0.15">
      <c r="A121" s="327" t="s">
        <v>796</v>
      </c>
      <c r="B121" s="327" t="s">
        <v>192</v>
      </c>
      <c r="C121" s="327" t="s">
        <v>1076</v>
      </c>
      <c r="D121" s="327">
        <v>49146516</v>
      </c>
      <c r="E121" s="327"/>
      <c r="F121" s="327"/>
      <c r="G121" s="328" t="s">
        <v>195</v>
      </c>
    </row>
    <row r="122" spans="1:7" ht="14" x14ac:dyDescent="0.15">
      <c r="A122" s="344" t="s">
        <v>796</v>
      </c>
      <c r="B122" s="327" t="s">
        <v>1077</v>
      </c>
      <c r="C122" s="345" t="s">
        <v>957</v>
      </c>
      <c r="D122" s="346"/>
      <c r="E122" s="339" t="s">
        <v>1078</v>
      </c>
      <c r="F122" s="339"/>
      <c r="G122" s="333" t="s">
        <v>206</v>
      </c>
    </row>
    <row r="123" spans="1:7" ht="14" x14ac:dyDescent="0.15">
      <c r="A123" s="344" t="s">
        <v>796</v>
      </c>
      <c r="B123" s="327" t="s">
        <v>1079</v>
      </c>
      <c r="C123" s="345" t="s">
        <v>957</v>
      </c>
      <c r="D123" s="346"/>
      <c r="E123" s="354" t="s">
        <v>1078</v>
      </c>
      <c r="F123" s="354"/>
      <c r="G123" s="333" t="s">
        <v>208</v>
      </c>
    </row>
    <row r="124" spans="1:7" ht="15" x14ac:dyDescent="0.15">
      <c r="A124" s="330" t="s">
        <v>806</v>
      </c>
      <c r="B124" s="330" t="s">
        <v>25</v>
      </c>
      <c r="C124" s="330" t="s">
        <v>24</v>
      </c>
      <c r="D124" s="330">
        <v>9632005724</v>
      </c>
      <c r="E124" s="330" t="s">
        <v>1419</v>
      </c>
      <c r="F124" s="446" t="s">
        <v>1420</v>
      </c>
      <c r="G124" s="331" t="s">
        <v>590</v>
      </c>
    </row>
    <row r="125" spans="1:7" ht="14" x14ac:dyDescent="0.15">
      <c r="A125" s="324"/>
      <c r="B125" s="324" t="s">
        <v>1080</v>
      </c>
      <c r="C125" s="324" t="s">
        <v>1081</v>
      </c>
      <c r="D125" s="324" t="s">
        <v>1082</v>
      </c>
      <c r="E125" s="324"/>
      <c r="F125" s="324"/>
      <c r="G125" s="324" t="s">
        <v>1083</v>
      </c>
    </row>
    <row r="126" spans="1:7" ht="14" x14ac:dyDescent="0.15">
      <c r="A126" s="324"/>
      <c r="B126" s="324" t="s">
        <v>1084</v>
      </c>
      <c r="C126" s="324" t="s">
        <v>1085</v>
      </c>
      <c r="D126" s="324">
        <v>9916906403</v>
      </c>
      <c r="E126" s="324"/>
      <c r="F126" s="324"/>
      <c r="G126" s="324" t="s">
        <v>1086</v>
      </c>
    </row>
    <row r="127" spans="1:7" ht="14" x14ac:dyDescent="0.15">
      <c r="A127" s="327" t="s">
        <v>796</v>
      </c>
      <c r="B127" s="327" t="s">
        <v>1421</v>
      </c>
      <c r="C127" s="327" t="s">
        <v>1087</v>
      </c>
      <c r="D127" s="349">
        <v>9945483368</v>
      </c>
      <c r="E127" s="349"/>
      <c r="F127" s="349"/>
      <c r="G127" s="333" t="s">
        <v>744</v>
      </c>
    </row>
    <row r="128" spans="1:7" ht="14" x14ac:dyDescent="0.15">
      <c r="A128" s="330" t="s">
        <v>796</v>
      </c>
      <c r="B128" s="330" t="s">
        <v>1088</v>
      </c>
      <c r="C128" s="330" t="s">
        <v>1089</v>
      </c>
      <c r="D128" s="330">
        <v>8041156268</v>
      </c>
      <c r="E128" s="330"/>
      <c r="F128" s="330"/>
      <c r="G128" s="331" t="s">
        <v>1090</v>
      </c>
    </row>
    <row r="129" spans="1:7" ht="14" x14ac:dyDescent="0.15">
      <c r="A129" s="326" t="s">
        <v>796</v>
      </c>
      <c r="B129" s="326" t="s">
        <v>1091</v>
      </c>
      <c r="C129" s="326" t="s">
        <v>1092</v>
      </c>
      <c r="D129" s="326">
        <v>9741999990</v>
      </c>
      <c r="E129" s="326" t="s">
        <v>1422</v>
      </c>
      <c r="F129" s="326" t="s">
        <v>1423</v>
      </c>
      <c r="G129" s="326" t="s">
        <v>1093</v>
      </c>
    </row>
    <row r="130" spans="1:7" ht="14" x14ac:dyDescent="0.15">
      <c r="A130" s="337" t="s">
        <v>806</v>
      </c>
      <c r="B130" s="327" t="s">
        <v>1094</v>
      </c>
      <c r="C130" s="327" t="s">
        <v>798</v>
      </c>
      <c r="D130" s="327"/>
      <c r="E130" s="327" t="s">
        <v>1095</v>
      </c>
      <c r="F130" s="327"/>
      <c r="G130" s="328" t="s">
        <v>1096</v>
      </c>
    </row>
    <row r="131" spans="1:7" ht="14" x14ac:dyDescent="0.15">
      <c r="A131" s="326" t="s">
        <v>796</v>
      </c>
      <c r="B131" s="326" t="s">
        <v>1097</v>
      </c>
      <c r="C131" s="327" t="s">
        <v>798</v>
      </c>
      <c r="D131" s="326" t="s">
        <v>243</v>
      </c>
      <c r="E131" s="355" t="s">
        <v>1098</v>
      </c>
      <c r="F131" s="326"/>
      <c r="G131" s="326" t="s">
        <v>1099</v>
      </c>
    </row>
    <row r="132" spans="1:7" ht="14" x14ac:dyDescent="0.15">
      <c r="A132" s="335" t="s">
        <v>806</v>
      </c>
      <c r="B132" s="326" t="s">
        <v>1100</v>
      </c>
      <c r="C132" s="326" t="s">
        <v>1101</v>
      </c>
      <c r="D132" s="326" t="s">
        <v>1102</v>
      </c>
      <c r="E132" s="336" t="s">
        <v>1103</v>
      </c>
      <c r="F132" s="336"/>
      <c r="G132" s="326" t="s">
        <v>1104</v>
      </c>
    </row>
    <row r="133" spans="1:7" ht="14" x14ac:dyDescent="0.15">
      <c r="A133" s="326" t="s">
        <v>796</v>
      </c>
      <c r="B133" s="326" t="s">
        <v>1105</v>
      </c>
      <c r="C133" s="326" t="s">
        <v>32</v>
      </c>
      <c r="D133" s="326">
        <v>42467513</v>
      </c>
      <c r="E133" s="326"/>
      <c r="F133" s="326"/>
      <c r="G133" s="326" t="s">
        <v>1106</v>
      </c>
    </row>
    <row r="134" spans="1:7" ht="14" x14ac:dyDescent="0.15">
      <c r="A134" s="337" t="s">
        <v>806</v>
      </c>
      <c r="B134" s="327" t="s">
        <v>1107</v>
      </c>
      <c r="C134" s="327" t="s">
        <v>32</v>
      </c>
      <c r="D134" s="327">
        <v>9731146524</v>
      </c>
      <c r="E134" s="327"/>
      <c r="F134" s="327"/>
      <c r="G134" s="328" t="s">
        <v>35</v>
      </c>
    </row>
    <row r="135" spans="1:7" ht="14" x14ac:dyDescent="0.15">
      <c r="A135" s="326" t="s">
        <v>796</v>
      </c>
      <c r="B135" s="327" t="s">
        <v>1108</v>
      </c>
      <c r="C135" s="326" t="s">
        <v>233</v>
      </c>
      <c r="D135" s="326"/>
      <c r="E135" s="336" t="s">
        <v>1109</v>
      </c>
      <c r="F135" s="336"/>
      <c r="G135" s="333" t="s">
        <v>1110</v>
      </c>
    </row>
    <row r="136" spans="1:7" ht="14" x14ac:dyDescent="0.15">
      <c r="A136" s="326"/>
      <c r="B136" s="356" t="s">
        <v>1111</v>
      </c>
      <c r="C136" s="326" t="s">
        <v>970</v>
      </c>
      <c r="D136" s="356" t="s">
        <v>1112</v>
      </c>
      <c r="E136" s="326"/>
      <c r="F136" s="326"/>
      <c r="G136" s="356" t="s">
        <v>1113</v>
      </c>
    </row>
    <row r="137" spans="1:7" ht="14" x14ac:dyDescent="0.15">
      <c r="A137" s="327" t="s">
        <v>796</v>
      </c>
      <c r="B137" s="327" t="s">
        <v>1114</v>
      </c>
      <c r="C137" s="327" t="s">
        <v>1115</v>
      </c>
      <c r="D137" s="327" t="s">
        <v>1116</v>
      </c>
      <c r="E137" s="327" t="s">
        <v>1117</v>
      </c>
      <c r="F137" s="327" t="s">
        <v>1118</v>
      </c>
      <c r="G137" s="328" t="s">
        <v>1119</v>
      </c>
    </row>
    <row r="138" spans="1:7" ht="14" x14ac:dyDescent="0.15">
      <c r="A138" s="327" t="s">
        <v>806</v>
      </c>
      <c r="B138" s="326" t="s">
        <v>274</v>
      </c>
      <c r="C138" s="326" t="s">
        <v>273</v>
      </c>
      <c r="D138" s="326">
        <v>9886892901</v>
      </c>
      <c r="E138" s="324"/>
      <c r="F138" s="324"/>
      <c r="G138" s="343" t="s">
        <v>275</v>
      </c>
    </row>
    <row r="139" spans="1:7" ht="14" x14ac:dyDescent="0.15">
      <c r="A139" s="335" t="s">
        <v>806</v>
      </c>
      <c r="B139" s="326" t="s">
        <v>1120</v>
      </c>
      <c r="C139" s="326" t="s">
        <v>1121</v>
      </c>
      <c r="D139" s="327">
        <v>9591204630</v>
      </c>
      <c r="E139" s="326"/>
      <c r="F139" s="326"/>
      <c r="G139" s="326" t="s">
        <v>1122</v>
      </c>
    </row>
    <row r="140" spans="1:7" ht="14" x14ac:dyDescent="0.15">
      <c r="A140" s="327" t="s">
        <v>806</v>
      </c>
      <c r="B140" s="327" t="s">
        <v>296</v>
      </c>
      <c r="C140" s="327" t="s">
        <v>287</v>
      </c>
      <c r="D140" s="327">
        <v>9910345541</v>
      </c>
      <c r="E140" s="327"/>
      <c r="F140" s="327"/>
      <c r="G140" s="328" t="s">
        <v>297</v>
      </c>
    </row>
    <row r="141" spans="1:7" ht="14" x14ac:dyDescent="0.15">
      <c r="A141" s="324"/>
      <c r="B141" s="324" t="s">
        <v>1123</v>
      </c>
      <c r="C141" s="324" t="s">
        <v>1059</v>
      </c>
      <c r="D141" s="324">
        <v>9845683007</v>
      </c>
      <c r="E141" s="324"/>
      <c r="F141" s="324"/>
      <c r="G141" s="324" t="s">
        <v>1124</v>
      </c>
    </row>
    <row r="142" spans="1:7" ht="14" x14ac:dyDescent="0.15">
      <c r="A142" s="327" t="s">
        <v>806</v>
      </c>
      <c r="B142" s="327" t="s">
        <v>1125</v>
      </c>
      <c r="C142" s="328" t="s">
        <v>1126</v>
      </c>
      <c r="D142" s="328"/>
      <c r="E142" s="328" t="s">
        <v>1127</v>
      </c>
      <c r="F142" s="328" t="s">
        <v>1128</v>
      </c>
      <c r="G142" s="328" t="s">
        <v>1129</v>
      </c>
    </row>
    <row r="143" spans="1:7" ht="14" x14ac:dyDescent="0.15">
      <c r="A143" s="327" t="s">
        <v>806</v>
      </c>
      <c r="B143" s="327" t="s">
        <v>1130</v>
      </c>
      <c r="C143" s="327" t="s">
        <v>47</v>
      </c>
      <c r="D143" s="327">
        <v>8971252835</v>
      </c>
      <c r="E143" s="327"/>
      <c r="F143" s="327"/>
      <c r="G143" s="327" t="s">
        <v>1131</v>
      </c>
    </row>
    <row r="144" spans="1:7" ht="14" x14ac:dyDescent="0.15">
      <c r="A144" s="327" t="s">
        <v>806</v>
      </c>
      <c r="B144" s="327" t="s">
        <v>51</v>
      </c>
      <c r="C144" s="327" t="s">
        <v>50</v>
      </c>
      <c r="D144" s="326"/>
      <c r="E144" s="326" t="s">
        <v>1132</v>
      </c>
      <c r="F144" s="326"/>
      <c r="G144" s="327" t="s">
        <v>53</v>
      </c>
    </row>
    <row r="145" spans="1:8" ht="14" x14ac:dyDescent="0.15">
      <c r="A145" s="327" t="s">
        <v>806</v>
      </c>
      <c r="B145" s="327" t="s">
        <v>578</v>
      </c>
      <c r="C145" s="327" t="s">
        <v>573</v>
      </c>
      <c r="D145" s="327">
        <v>9900023579</v>
      </c>
      <c r="E145" s="327"/>
      <c r="F145" s="327"/>
      <c r="G145" s="328" t="s">
        <v>580</v>
      </c>
    </row>
    <row r="146" spans="1:8" ht="14" x14ac:dyDescent="0.15">
      <c r="A146" s="335" t="s">
        <v>806</v>
      </c>
      <c r="B146" s="326" t="s">
        <v>1133</v>
      </c>
      <c r="C146" s="326" t="s">
        <v>1134</v>
      </c>
      <c r="D146" s="357">
        <v>18602101000</v>
      </c>
      <c r="E146" s="329" t="s">
        <v>1135</v>
      </c>
      <c r="F146" s="326"/>
      <c r="G146" s="326" t="s">
        <v>1136</v>
      </c>
    </row>
    <row r="147" spans="1:8" ht="14" x14ac:dyDescent="0.15">
      <c r="A147" s="335" t="s">
        <v>806</v>
      </c>
      <c r="B147" s="326" t="s">
        <v>1137</v>
      </c>
      <c r="C147" s="326" t="s">
        <v>1138</v>
      </c>
      <c r="D147" s="327">
        <v>9900018057</v>
      </c>
      <c r="E147" s="326"/>
      <c r="F147" s="326"/>
      <c r="G147" s="326" t="s">
        <v>1139</v>
      </c>
    </row>
    <row r="148" spans="1:8" ht="14" x14ac:dyDescent="0.15">
      <c r="A148" s="327" t="s">
        <v>796</v>
      </c>
      <c r="B148" s="327" t="s">
        <v>55</v>
      </c>
      <c r="C148" s="327" t="s">
        <v>1140</v>
      </c>
      <c r="D148" s="327">
        <v>33575328</v>
      </c>
      <c r="E148" s="327"/>
      <c r="F148" s="327"/>
      <c r="G148" s="328" t="s">
        <v>376</v>
      </c>
    </row>
    <row r="149" spans="1:8" ht="14" x14ac:dyDescent="0.15">
      <c r="A149" s="335" t="s">
        <v>806</v>
      </c>
      <c r="B149" s="326" t="s">
        <v>1141</v>
      </c>
      <c r="C149" s="326" t="s">
        <v>1142</v>
      </c>
      <c r="D149" s="326">
        <v>9845080485</v>
      </c>
      <c r="E149" s="326"/>
      <c r="F149" s="326"/>
      <c r="G149" s="326" t="s">
        <v>1143</v>
      </c>
    </row>
    <row r="150" spans="1:8" ht="14" x14ac:dyDescent="0.15">
      <c r="A150" s="327" t="s">
        <v>806</v>
      </c>
      <c r="B150" s="327" t="s">
        <v>1141</v>
      </c>
      <c r="C150" s="337" t="s">
        <v>1029</v>
      </c>
      <c r="D150" s="326"/>
      <c r="E150" s="326" t="s">
        <v>1030</v>
      </c>
      <c r="F150" s="326"/>
      <c r="G150" s="326" t="s">
        <v>1144</v>
      </c>
    </row>
    <row r="151" spans="1:8" ht="14" x14ac:dyDescent="0.15">
      <c r="A151" s="327" t="s">
        <v>796</v>
      </c>
      <c r="B151" s="327" t="s">
        <v>1145</v>
      </c>
      <c r="C151" s="337" t="s">
        <v>1029</v>
      </c>
      <c r="D151" s="326"/>
      <c r="E151" s="326" t="s">
        <v>1030</v>
      </c>
      <c r="F151" s="326"/>
      <c r="G151" s="326" t="s">
        <v>1146</v>
      </c>
    </row>
    <row r="152" spans="1:8" ht="14" x14ac:dyDescent="0.15">
      <c r="A152" s="330" t="s">
        <v>796</v>
      </c>
      <c r="B152" s="330" t="s">
        <v>1147</v>
      </c>
      <c r="C152" s="330" t="s">
        <v>407</v>
      </c>
      <c r="D152" s="330"/>
      <c r="E152" s="336" t="s">
        <v>1148</v>
      </c>
      <c r="F152" s="336"/>
      <c r="G152" s="331" t="s">
        <v>1149</v>
      </c>
    </row>
    <row r="153" spans="1:8" ht="15" x14ac:dyDescent="0.2">
      <c r="A153" s="327" t="s">
        <v>806</v>
      </c>
      <c r="B153" s="327" t="s">
        <v>408</v>
      </c>
      <c r="C153" s="327" t="s">
        <v>1150</v>
      </c>
      <c r="D153" s="327">
        <v>9810721845</v>
      </c>
      <c r="E153" s="327"/>
      <c r="F153" s="327"/>
      <c r="G153" s="328" t="s">
        <v>409</v>
      </c>
      <c r="H153" s="447" t="s">
        <v>1424</v>
      </c>
    </row>
    <row r="154" spans="1:8" ht="14" x14ac:dyDescent="0.15">
      <c r="A154" s="327"/>
      <c r="B154" s="326"/>
      <c r="C154" s="326"/>
      <c r="D154" s="326"/>
      <c r="E154" s="326"/>
      <c r="F154" s="326"/>
      <c r="G154" s="326"/>
    </row>
    <row r="155" spans="1:8" ht="14" x14ac:dyDescent="0.15">
      <c r="A155" s="330"/>
      <c r="B155" s="330"/>
      <c r="C155" s="330"/>
      <c r="D155" s="330"/>
      <c r="E155" s="338"/>
      <c r="F155" s="338"/>
      <c r="G155" s="331"/>
    </row>
    <row r="156" spans="1:8" ht="14" x14ac:dyDescent="0.15">
      <c r="A156" s="324"/>
      <c r="B156" s="324"/>
      <c r="C156" s="324"/>
      <c r="D156" s="324"/>
      <c r="E156" s="324"/>
      <c r="F156" s="324"/>
      <c r="G156" s="324"/>
    </row>
    <row r="157" spans="1:8" ht="14" x14ac:dyDescent="0.15">
      <c r="A157" s="327"/>
      <c r="B157" s="327"/>
      <c r="C157" s="327"/>
      <c r="D157" s="324"/>
      <c r="E157" s="327"/>
      <c r="F157" s="327"/>
      <c r="G157" s="328"/>
    </row>
    <row r="158" spans="1:8" ht="14" x14ac:dyDescent="0.15">
      <c r="A158" s="330"/>
      <c r="B158" s="330"/>
      <c r="C158" s="330"/>
      <c r="D158" s="326"/>
      <c r="E158" s="330"/>
      <c r="F158" s="330"/>
      <c r="G158" s="331"/>
    </row>
    <row r="159" spans="1:8" ht="14" x14ac:dyDescent="0.15">
      <c r="A159" s="324"/>
      <c r="B159" s="324"/>
      <c r="C159" s="324"/>
      <c r="D159" s="324"/>
      <c r="E159" s="324"/>
      <c r="F159" s="324"/>
      <c r="G159" s="324"/>
    </row>
    <row r="160" spans="1:8" ht="14" x14ac:dyDescent="0.15">
      <c r="A160" s="327"/>
      <c r="B160" s="327"/>
      <c r="C160" s="327"/>
      <c r="D160" s="326"/>
      <c r="E160" s="326"/>
      <c r="F160" s="326"/>
      <c r="G160" s="326"/>
    </row>
    <row r="161" spans="1:7" ht="14" x14ac:dyDescent="0.15">
      <c r="A161" s="327"/>
      <c r="B161" s="326"/>
      <c r="C161" s="326"/>
      <c r="D161" s="326"/>
      <c r="E161" s="326"/>
      <c r="F161" s="326"/>
      <c r="G161" s="326"/>
    </row>
    <row r="162" spans="1:7" ht="14" x14ac:dyDescent="0.15">
      <c r="A162" s="327"/>
      <c r="B162" s="327"/>
      <c r="C162" s="327"/>
      <c r="D162" s="327"/>
      <c r="E162" s="327"/>
      <c r="F162" s="327"/>
      <c r="G162" s="328"/>
    </row>
    <row r="163" spans="1:7" ht="14" x14ac:dyDescent="0.15">
      <c r="A163" s="327"/>
      <c r="B163" s="327"/>
      <c r="C163" s="327"/>
      <c r="D163" s="327"/>
      <c r="E163" s="327"/>
      <c r="F163" s="327"/>
      <c r="G163" s="327"/>
    </row>
    <row r="164" spans="1:7" ht="14" x14ac:dyDescent="0.15">
      <c r="A164" s="335"/>
      <c r="B164" s="326"/>
      <c r="C164" s="326"/>
      <c r="D164" s="326"/>
      <c r="E164" s="326"/>
      <c r="F164" s="326"/>
      <c r="G164" s="326"/>
    </row>
    <row r="165" spans="1:7" ht="14" x14ac:dyDescent="0.15">
      <c r="A165" s="327"/>
      <c r="B165" s="327"/>
      <c r="C165" s="327"/>
      <c r="D165" s="327"/>
      <c r="E165" s="327"/>
      <c r="F165" s="327"/>
      <c r="G165" s="331"/>
    </row>
    <row r="166" spans="1:7" ht="14" x14ac:dyDescent="0.15">
      <c r="A166" s="327"/>
      <c r="B166" s="327"/>
      <c r="C166" s="326"/>
      <c r="D166" s="327"/>
      <c r="E166" s="327"/>
      <c r="F166" s="327"/>
      <c r="G166" s="333"/>
    </row>
    <row r="167" spans="1:7" ht="14" x14ac:dyDescent="0.15">
      <c r="A167" s="326"/>
      <c r="B167" s="326"/>
      <c r="C167" s="326"/>
      <c r="D167" s="326"/>
      <c r="E167" s="326"/>
      <c r="F167" s="326"/>
      <c r="G167" s="326"/>
    </row>
    <row r="168" spans="1:7" ht="14" x14ac:dyDescent="0.15">
      <c r="A168" s="326"/>
      <c r="B168" s="326"/>
      <c r="C168" s="326"/>
      <c r="D168" s="326"/>
      <c r="E168" s="326"/>
      <c r="F168" s="326"/>
      <c r="G168" s="333"/>
    </row>
    <row r="169" spans="1:7" ht="14" x14ac:dyDescent="0.15">
      <c r="A169" s="324"/>
      <c r="B169" s="324"/>
      <c r="C169" s="324"/>
      <c r="D169" s="324"/>
      <c r="E169" s="324"/>
      <c r="F169" s="324"/>
      <c r="G169" s="324"/>
    </row>
    <row r="170" spans="1:7" ht="14" x14ac:dyDescent="0.15">
      <c r="A170" s="324"/>
      <c r="B170" s="324"/>
      <c r="C170" s="324"/>
      <c r="D170" s="324"/>
      <c r="E170" s="324"/>
      <c r="F170" s="324"/>
      <c r="G170" s="324"/>
    </row>
    <row r="171" spans="1:7" ht="14" x14ac:dyDescent="0.15">
      <c r="A171" s="330"/>
      <c r="B171" s="330"/>
      <c r="C171" s="330"/>
      <c r="D171" s="330"/>
      <c r="E171" s="330"/>
      <c r="F171" s="330"/>
      <c r="G171" s="331"/>
    </row>
    <row r="172" spans="1:7" ht="14" x14ac:dyDescent="0.15">
      <c r="A172" s="327"/>
      <c r="B172" s="327"/>
      <c r="C172" s="327"/>
      <c r="D172" s="328"/>
      <c r="E172" s="328"/>
      <c r="F172" s="328"/>
      <c r="G172" s="333"/>
    </row>
    <row r="173" spans="1:7" ht="14" x14ac:dyDescent="0.15">
      <c r="A173" s="327"/>
      <c r="B173" s="327"/>
      <c r="C173" s="327"/>
      <c r="D173" s="327"/>
      <c r="E173" s="327"/>
      <c r="F173" s="327"/>
      <c r="G173" s="349"/>
    </row>
    <row r="174" spans="1:7" ht="14" x14ac:dyDescent="0.15">
      <c r="A174" s="324"/>
      <c r="B174" s="324"/>
      <c r="C174" s="324"/>
      <c r="D174" s="324"/>
      <c r="E174" s="324"/>
      <c r="F174" s="324"/>
      <c r="G174" s="324"/>
    </row>
    <row r="175" spans="1:7" ht="14" x14ac:dyDescent="0.15">
      <c r="A175" s="330"/>
      <c r="B175" s="330"/>
      <c r="C175" s="330"/>
      <c r="D175" s="330"/>
      <c r="E175" s="330"/>
      <c r="F175" s="330"/>
      <c r="G175" s="331"/>
    </row>
    <row r="176" spans="1:7" ht="14" x14ac:dyDescent="0.15">
      <c r="A176" s="330"/>
      <c r="B176" s="330"/>
      <c r="C176" s="330"/>
      <c r="D176" s="330"/>
      <c r="E176" s="336"/>
      <c r="F176" s="336"/>
      <c r="G176" s="331"/>
    </row>
    <row r="177" spans="1:7" ht="14" x14ac:dyDescent="0.15">
      <c r="A177" s="327"/>
      <c r="B177" s="327"/>
      <c r="C177" s="327"/>
      <c r="D177" s="327"/>
      <c r="E177" s="327"/>
      <c r="F177" s="327"/>
      <c r="G177" s="328"/>
    </row>
    <row r="178" spans="1:7" ht="14" x14ac:dyDescent="0.15">
      <c r="A178" s="327"/>
      <c r="B178" s="327"/>
      <c r="C178" s="327"/>
      <c r="D178" s="327"/>
      <c r="E178" s="327"/>
      <c r="F178" s="327"/>
      <c r="G178" s="328"/>
    </row>
    <row r="179" spans="1:7" ht="14" x14ac:dyDescent="0.15">
      <c r="A179" s="327"/>
      <c r="B179" s="326"/>
      <c r="C179" s="326"/>
      <c r="D179" s="326"/>
      <c r="E179" s="326"/>
      <c r="F179" s="326"/>
      <c r="G179" s="326"/>
    </row>
    <row r="180" spans="1:7" ht="14" x14ac:dyDescent="0.15">
      <c r="A180" s="326"/>
      <c r="B180" s="326"/>
      <c r="C180" s="326"/>
      <c r="D180" s="326"/>
      <c r="E180" s="326"/>
      <c r="F180" s="326"/>
      <c r="G180" s="326"/>
    </row>
    <row r="181" spans="1:7" ht="14" x14ac:dyDescent="0.15">
      <c r="A181" s="335"/>
      <c r="B181" s="326"/>
      <c r="C181" s="326"/>
      <c r="D181" s="326"/>
      <c r="E181" s="326"/>
      <c r="F181" s="326"/>
      <c r="G181" s="326"/>
    </row>
    <row r="182" spans="1:7" ht="14" x14ac:dyDescent="0.15">
      <c r="A182" s="327"/>
      <c r="B182" s="327"/>
      <c r="C182" s="327"/>
      <c r="D182" s="327"/>
      <c r="E182" s="327"/>
      <c r="F182" s="327"/>
      <c r="G182" s="326"/>
    </row>
    <row r="183" spans="1:7" ht="14" x14ac:dyDescent="0.15">
      <c r="A183" s="327"/>
      <c r="B183" s="326"/>
      <c r="C183" s="326"/>
      <c r="D183" s="326"/>
      <c r="E183" s="326"/>
      <c r="F183" s="326"/>
      <c r="G183" s="326"/>
    </row>
    <row r="184" spans="1:7" ht="14" x14ac:dyDescent="0.15">
      <c r="A184" s="326"/>
      <c r="B184" s="326"/>
      <c r="C184" s="326"/>
      <c r="D184" s="327"/>
      <c r="E184" s="326"/>
      <c r="F184" s="326"/>
      <c r="G184" s="326"/>
    </row>
    <row r="185" spans="1:7" ht="14" x14ac:dyDescent="0.15">
      <c r="A185" s="330"/>
      <c r="B185" s="330"/>
      <c r="C185" s="330"/>
      <c r="D185" s="330"/>
      <c r="E185" s="330"/>
      <c r="F185" s="330"/>
      <c r="G185" s="331"/>
    </row>
    <row r="186" spans="1:7" ht="14" x14ac:dyDescent="0.15">
      <c r="A186" s="327"/>
      <c r="B186" s="326"/>
      <c r="C186" s="326"/>
      <c r="D186" s="326"/>
      <c r="E186" s="326"/>
      <c r="F186" s="326"/>
      <c r="G186" s="326"/>
    </row>
    <row r="187" spans="1:7" ht="14" x14ac:dyDescent="0.15">
      <c r="A187" s="330"/>
      <c r="B187" s="326"/>
      <c r="C187" s="326"/>
      <c r="D187" s="326"/>
      <c r="E187" s="326"/>
      <c r="F187" s="326"/>
      <c r="G187" s="343"/>
    </row>
    <row r="188" spans="1:7" ht="14" x14ac:dyDescent="0.15">
      <c r="A188" s="327"/>
      <c r="B188" s="326"/>
      <c r="C188" s="326"/>
      <c r="D188" s="326"/>
      <c r="E188" s="326"/>
      <c r="F188" s="326"/>
      <c r="G188" s="343"/>
    </row>
    <row r="189" spans="1:7" ht="14" x14ac:dyDescent="0.15">
      <c r="A189" s="335"/>
      <c r="B189" s="326"/>
      <c r="C189" s="326"/>
      <c r="D189" s="326"/>
      <c r="E189" s="326"/>
      <c r="F189" s="326"/>
      <c r="G189" s="326"/>
    </row>
    <row r="190" spans="1:7" ht="14" x14ac:dyDescent="0.15">
      <c r="A190" s="324"/>
      <c r="B190" s="324"/>
      <c r="C190" s="324"/>
      <c r="D190" s="324"/>
      <c r="E190" s="324"/>
      <c r="F190" s="324"/>
      <c r="G190" s="324"/>
    </row>
    <row r="191" spans="1:7" ht="14" x14ac:dyDescent="0.15">
      <c r="A191" s="330"/>
      <c r="B191" s="330"/>
      <c r="C191" s="330"/>
      <c r="D191" s="330"/>
      <c r="E191" s="330"/>
      <c r="F191" s="330"/>
      <c r="G191" s="331"/>
    </row>
    <row r="192" spans="1:7" ht="14" x14ac:dyDescent="0.15">
      <c r="A192" s="327"/>
      <c r="B192" s="327"/>
      <c r="C192" s="327"/>
      <c r="D192" s="326"/>
      <c r="E192" s="326"/>
      <c r="F192" s="326"/>
      <c r="G192" s="327"/>
    </row>
    <row r="193" spans="1:8" ht="14" x14ac:dyDescent="0.15">
      <c r="A193" s="335"/>
      <c r="B193" s="326"/>
      <c r="C193" s="326"/>
      <c r="D193" s="326"/>
      <c r="E193" s="326"/>
      <c r="F193" s="326"/>
      <c r="G193" s="326"/>
    </row>
    <row r="194" spans="1:8" ht="14" x14ac:dyDescent="0.15">
      <c r="A194" s="327"/>
      <c r="B194" s="327"/>
      <c r="C194" s="327"/>
      <c r="D194" s="327"/>
      <c r="E194" s="327"/>
      <c r="F194" s="327"/>
      <c r="G194" s="333"/>
    </row>
    <row r="195" spans="1:8" s="359" customFormat="1" ht="14" x14ac:dyDescent="0.15">
      <c r="A195" s="335"/>
      <c r="B195" s="326"/>
      <c r="C195" s="326"/>
      <c r="D195" s="326"/>
      <c r="E195" s="327"/>
      <c r="F195" s="327"/>
      <c r="G195" s="326"/>
      <c r="H195" s="358"/>
    </row>
    <row r="196" spans="1:8" s="359" customFormat="1" ht="14" x14ac:dyDescent="0.15">
      <c r="A196" s="327"/>
      <c r="B196" s="327"/>
      <c r="C196" s="327"/>
      <c r="D196" s="327"/>
      <c r="E196" s="327"/>
      <c r="F196" s="327"/>
      <c r="G196" s="349"/>
      <c r="H196" s="358"/>
    </row>
    <row r="197" spans="1:8" ht="14" x14ac:dyDescent="0.15">
      <c r="A197" s="335"/>
      <c r="B197" s="326"/>
      <c r="C197" s="327"/>
      <c r="D197" s="326"/>
      <c r="E197" s="326"/>
      <c r="F197" s="326"/>
      <c r="G197" s="326"/>
    </row>
    <row r="198" spans="1:8" ht="14" x14ac:dyDescent="0.15">
      <c r="A198" s="335"/>
      <c r="B198" s="326"/>
      <c r="C198" s="327"/>
      <c r="D198" s="326"/>
      <c r="E198" s="326"/>
      <c r="F198" s="326"/>
      <c r="G198" s="326"/>
    </row>
    <row r="199" spans="1:8" ht="14" x14ac:dyDescent="0.15">
      <c r="A199" s="327"/>
      <c r="B199" s="327"/>
      <c r="C199" s="327"/>
      <c r="D199" s="327"/>
      <c r="E199" s="327"/>
      <c r="F199" s="327"/>
      <c r="G199" s="328"/>
    </row>
    <row r="200" spans="1:8" ht="14" x14ac:dyDescent="0.15">
      <c r="A200" s="327"/>
      <c r="B200" s="327"/>
      <c r="C200" s="328"/>
      <c r="D200" s="328"/>
      <c r="E200" s="328"/>
      <c r="F200" s="328"/>
      <c r="G200" s="328"/>
    </row>
    <row r="201" spans="1:8" ht="14" x14ac:dyDescent="0.15">
      <c r="A201" s="335"/>
      <c r="B201" s="326"/>
      <c r="C201" s="326"/>
      <c r="D201" s="326"/>
      <c r="E201" s="327"/>
      <c r="F201" s="327"/>
      <c r="G201" s="326"/>
    </row>
    <row r="202" spans="1:8" ht="14" x14ac:dyDescent="0.15">
      <c r="A202" s="330"/>
      <c r="B202" s="330"/>
      <c r="C202" s="327"/>
      <c r="D202" s="330"/>
      <c r="E202" s="330"/>
      <c r="F202" s="330"/>
      <c r="G202" s="331"/>
    </row>
    <row r="203" spans="1:8" ht="14" x14ac:dyDescent="0.15">
      <c r="A203" s="327"/>
      <c r="B203" s="327"/>
      <c r="C203" s="327"/>
      <c r="D203" s="327"/>
      <c r="E203" s="327"/>
      <c r="F203" s="327"/>
      <c r="G203" s="328"/>
    </row>
    <row r="204" spans="1:8" ht="14" x14ac:dyDescent="0.15">
      <c r="A204" s="327"/>
      <c r="B204" s="327"/>
      <c r="C204" s="327"/>
      <c r="D204" s="327"/>
      <c r="E204" s="327"/>
      <c r="F204" s="327"/>
      <c r="G204" s="333"/>
    </row>
    <row r="205" spans="1:8" ht="14" x14ac:dyDescent="0.15">
      <c r="A205" s="327"/>
      <c r="B205" s="327"/>
      <c r="C205" s="327"/>
      <c r="D205" s="327"/>
      <c r="E205" s="327"/>
      <c r="F205" s="327"/>
      <c r="G205" s="328"/>
    </row>
    <row r="206" spans="1:8" ht="14" x14ac:dyDescent="0.15">
      <c r="A206" s="327"/>
      <c r="B206" s="327"/>
      <c r="C206" s="327"/>
      <c r="D206" s="327"/>
      <c r="E206" s="327"/>
      <c r="F206" s="327"/>
      <c r="G206" s="333"/>
    </row>
    <row r="207" spans="1:8" ht="14" x14ac:dyDescent="0.15">
      <c r="A207" s="327"/>
      <c r="B207" s="327"/>
      <c r="C207" s="327"/>
      <c r="D207" s="327"/>
      <c r="E207" s="327"/>
      <c r="F207" s="327"/>
      <c r="G207" s="327"/>
    </row>
    <row r="208" spans="1:8" ht="14" x14ac:dyDescent="0.15">
      <c r="A208" s="327"/>
      <c r="B208" s="327"/>
      <c r="C208" s="327"/>
      <c r="D208" s="327"/>
      <c r="E208" s="327"/>
      <c r="F208" s="327"/>
      <c r="G208" s="328"/>
    </row>
    <row r="209" spans="1:7" ht="14" x14ac:dyDescent="0.15">
      <c r="A209" s="330"/>
      <c r="B209" s="330"/>
      <c r="C209" s="330"/>
      <c r="D209" s="330"/>
      <c r="E209" s="330"/>
      <c r="F209" s="330"/>
      <c r="G209" s="331"/>
    </row>
    <row r="210" spans="1:7" ht="14" x14ac:dyDescent="0.15">
      <c r="A210" s="335"/>
      <c r="B210" s="326"/>
      <c r="C210" s="326"/>
      <c r="D210" s="326"/>
      <c r="E210" s="326"/>
      <c r="F210" s="326"/>
      <c r="G210" s="326"/>
    </row>
    <row r="211" spans="1:7" ht="14" x14ac:dyDescent="0.15">
      <c r="A211" s="330"/>
      <c r="B211" s="330"/>
      <c r="C211" s="330"/>
      <c r="D211" s="330"/>
      <c r="E211" s="330"/>
      <c r="F211" s="330"/>
      <c r="G211" s="331"/>
    </row>
    <row r="212" spans="1:7" ht="14" x14ac:dyDescent="0.15">
      <c r="A212" s="327"/>
      <c r="B212" s="328"/>
      <c r="C212" s="327"/>
      <c r="D212" s="327"/>
      <c r="E212" s="327"/>
      <c r="F212" s="327"/>
      <c r="G212" s="333"/>
    </row>
    <row r="213" spans="1:7" ht="14" x14ac:dyDescent="0.15">
      <c r="A213" s="327"/>
      <c r="B213" s="327"/>
      <c r="C213" s="327"/>
      <c r="D213" s="327"/>
      <c r="E213" s="327"/>
      <c r="F213" s="327"/>
      <c r="G213" s="333"/>
    </row>
    <row r="214" spans="1:7" ht="14" x14ac:dyDescent="0.15">
      <c r="A214" s="327"/>
      <c r="B214" s="327"/>
      <c r="C214" s="327"/>
      <c r="D214" s="327"/>
      <c r="E214" s="327"/>
      <c r="F214" s="327"/>
      <c r="G214" s="328"/>
    </row>
    <row r="215" spans="1:7" ht="14" x14ac:dyDescent="0.15">
      <c r="A215" s="327"/>
      <c r="B215" s="327"/>
      <c r="C215" s="327"/>
      <c r="D215" s="327"/>
      <c r="E215" s="327"/>
      <c r="F215" s="327"/>
      <c r="G215" s="360"/>
    </row>
    <row r="216" spans="1:7" ht="14" x14ac:dyDescent="0.15">
      <c r="A216" s="327"/>
      <c r="B216" s="337"/>
      <c r="C216" s="327"/>
      <c r="D216" s="337"/>
      <c r="E216" s="337"/>
      <c r="F216" s="337"/>
      <c r="G216" s="333"/>
    </row>
    <row r="217" spans="1:7" ht="14" x14ac:dyDescent="0.15">
      <c r="A217" s="327"/>
      <c r="B217" s="327"/>
      <c r="C217" s="327"/>
      <c r="D217" s="327"/>
      <c r="E217" s="327"/>
      <c r="F217" s="327"/>
      <c r="G217" s="328"/>
    </row>
    <row r="218" spans="1:7" ht="14" x14ac:dyDescent="0.15">
      <c r="A218" s="335"/>
      <c r="B218" s="326"/>
      <c r="C218" s="326"/>
      <c r="D218" s="326"/>
      <c r="E218" s="326"/>
      <c r="F218" s="326"/>
      <c r="G218" s="326"/>
    </row>
    <row r="219" spans="1:7" ht="14" x14ac:dyDescent="0.15">
      <c r="A219" s="327"/>
      <c r="B219" s="327"/>
      <c r="C219" s="327"/>
      <c r="D219" s="327"/>
      <c r="E219" s="327"/>
      <c r="F219" s="327"/>
      <c r="G219" s="349"/>
    </row>
    <row r="220" spans="1:7" ht="14" x14ac:dyDescent="0.15">
      <c r="A220" s="327"/>
      <c r="B220" s="327"/>
      <c r="C220" s="327"/>
      <c r="D220" s="327"/>
      <c r="E220" s="327"/>
      <c r="F220" s="327"/>
      <c r="G220" s="328"/>
    </row>
    <row r="221" spans="1:7" ht="14" x14ac:dyDescent="0.15">
      <c r="A221" s="327"/>
      <c r="B221" s="327"/>
      <c r="C221" s="327"/>
      <c r="D221" s="327"/>
      <c r="E221" s="327"/>
      <c r="F221" s="327"/>
      <c r="G221" s="328"/>
    </row>
    <row r="222" spans="1:7" ht="14" x14ac:dyDescent="0.15">
      <c r="A222" s="327"/>
      <c r="B222" s="327"/>
      <c r="C222" s="327"/>
      <c r="D222" s="326"/>
      <c r="E222" s="327"/>
      <c r="F222" s="327"/>
      <c r="G222" s="328"/>
    </row>
    <row r="223" spans="1:7" ht="14" x14ac:dyDescent="0.15">
      <c r="A223" s="327"/>
      <c r="B223" s="327"/>
      <c r="C223" s="327"/>
      <c r="D223" s="327"/>
      <c r="E223" s="327"/>
      <c r="F223" s="327"/>
      <c r="G223" s="333"/>
    </row>
    <row r="224" spans="1:7" ht="14" x14ac:dyDescent="0.15">
      <c r="A224" s="327"/>
      <c r="B224" s="327"/>
      <c r="C224" s="327"/>
      <c r="D224" s="327"/>
      <c r="E224" s="327"/>
      <c r="F224" s="327"/>
      <c r="G224" s="328"/>
    </row>
    <row r="225" spans="1:7" ht="14" x14ac:dyDescent="0.15">
      <c r="A225" s="327"/>
      <c r="B225" s="327"/>
      <c r="C225" s="327"/>
      <c r="D225" s="327"/>
      <c r="E225" s="327"/>
      <c r="F225" s="327"/>
      <c r="G225" s="333"/>
    </row>
    <row r="226" spans="1:7" ht="14" x14ac:dyDescent="0.15">
      <c r="A226" s="326"/>
      <c r="B226" s="326"/>
      <c r="C226" s="326"/>
      <c r="D226" s="326"/>
      <c r="E226" s="326"/>
      <c r="F226" s="326"/>
      <c r="G226" s="326"/>
    </row>
    <row r="227" spans="1:7" ht="14" x14ac:dyDescent="0.15">
      <c r="A227" s="327"/>
      <c r="B227" s="326"/>
      <c r="C227" s="335"/>
      <c r="D227" s="326"/>
      <c r="E227" s="326"/>
      <c r="F227" s="326"/>
      <c r="G227" s="328"/>
    </row>
    <row r="228" spans="1:7" ht="14" x14ac:dyDescent="0.15">
      <c r="A228" s="327"/>
      <c r="B228" s="327"/>
      <c r="C228" s="327"/>
      <c r="D228" s="327"/>
      <c r="E228" s="327"/>
      <c r="F228" s="327"/>
      <c r="G228" s="327"/>
    </row>
    <row r="229" spans="1:7" ht="14" x14ac:dyDescent="0.15">
      <c r="A229" s="327"/>
      <c r="B229" s="327"/>
      <c r="C229" s="327"/>
      <c r="D229" s="327"/>
      <c r="E229" s="327"/>
      <c r="F229" s="327"/>
      <c r="G229" s="327"/>
    </row>
    <row r="230" spans="1:7" ht="14" x14ac:dyDescent="0.15">
      <c r="A230" s="326"/>
      <c r="B230" s="326"/>
      <c r="C230" s="326"/>
      <c r="D230" s="326"/>
      <c r="E230" s="326"/>
      <c r="F230" s="326"/>
      <c r="G230" s="327"/>
    </row>
    <row r="231" spans="1:7" ht="14" x14ac:dyDescent="0.15">
      <c r="A231" s="335"/>
      <c r="B231" s="326"/>
      <c r="C231" s="326"/>
      <c r="D231" s="326"/>
      <c r="E231" s="326"/>
      <c r="F231" s="326"/>
      <c r="G231" s="326"/>
    </row>
    <row r="232" spans="1:7" ht="14" x14ac:dyDescent="0.15">
      <c r="A232" s="330"/>
      <c r="B232" s="330"/>
      <c r="C232" s="330"/>
      <c r="D232" s="330"/>
      <c r="E232" s="330"/>
      <c r="F232" s="330"/>
      <c r="G232" s="331"/>
    </row>
    <row r="233" spans="1:7" ht="14" x14ac:dyDescent="0.15">
      <c r="A233" s="327"/>
      <c r="B233" s="327"/>
      <c r="C233" s="327"/>
      <c r="D233" s="327"/>
      <c r="E233" s="327"/>
      <c r="F233" s="327"/>
      <c r="G233" s="328"/>
    </row>
    <row r="234" spans="1:7" ht="14" x14ac:dyDescent="0.15">
      <c r="A234" s="326"/>
      <c r="B234" s="326"/>
      <c r="C234" s="326"/>
      <c r="D234" s="326"/>
      <c r="E234" s="326"/>
      <c r="F234" s="326"/>
      <c r="G234" s="326"/>
    </row>
    <row r="235" spans="1:7" ht="14" x14ac:dyDescent="0.15">
      <c r="A235" s="327"/>
      <c r="B235" s="327"/>
      <c r="C235" s="327"/>
      <c r="D235" s="327"/>
      <c r="E235" s="327"/>
      <c r="F235" s="327"/>
      <c r="G235" s="328"/>
    </row>
    <row r="236" spans="1:7" ht="14" x14ac:dyDescent="0.15">
      <c r="A236" s="327"/>
      <c r="B236" s="327"/>
      <c r="C236" s="327"/>
      <c r="D236" s="327"/>
      <c r="E236" s="327"/>
      <c r="F236" s="327"/>
      <c r="G236" s="328"/>
    </row>
    <row r="237" spans="1:7" ht="14" x14ac:dyDescent="0.15">
      <c r="A237" s="327"/>
      <c r="B237" s="327"/>
      <c r="C237" s="327"/>
      <c r="D237" s="327"/>
      <c r="E237" s="327"/>
      <c r="F237" s="327"/>
      <c r="G237" s="333"/>
    </row>
    <row r="238" spans="1:7" ht="14" x14ac:dyDescent="0.15">
      <c r="A238" s="335"/>
      <c r="B238" s="326"/>
      <c r="C238" s="326"/>
      <c r="D238" s="326"/>
      <c r="E238" s="326"/>
      <c r="F238" s="326"/>
      <c r="G238" s="326"/>
    </row>
    <row r="239" spans="1:7" ht="14" x14ac:dyDescent="0.15">
      <c r="A239" s="327"/>
      <c r="B239" s="327"/>
      <c r="C239" s="327"/>
      <c r="D239" s="327"/>
      <c r="E239" s="327"/>
      <c r="F239" s="327"/>
      <c r="G239" s="328"/>
    </row>
    <row r="240" spans="1:7" ht="14" x14ac:dyDescent="0.15">
      <c r="A240" s="327"/>
      <c r="B240" s="327"/>
      <c r="C240" s="327"/>
      <c r="D240" s="327"/>
      <c r="E240" s="327"/>
      <c r="F240" s="327"/>
      <c r="G240" s="328"/>
    </row>
    <row r="241" spans="1:7" ht="14" x14ac:dyDescent="0.15">
      <c r="A241" s="335"/>
      <c r="B241" s="326"/>
      <c r="C241" s="326"/>
      <c r="D241" s="326"/>
      <c r="E241" s="326"/>
      <c r="F241" s="326"/>
      <c r="G241" s="326"/>
    </row>
    <row r="242" spans="1:7" ht="14" x14ac:dyDescent="0.15">
      <c r="A242" s="327"/>
      <c r="B242" s="327"/>
      <c r="C242" s="327"/>
      <c r="D242" s="327"/>
      <c r="E242" s="327"/>
      <c r="F242" s="327"/>
      <c r="G242" s="328"/>
    </row>
    <row r="243" spans="1:7" ht="14" x14ac:dyDescent="0.15">
      <c r="A243" s="327"/>
      <c r="B243" s="327"/>
      <c r="C243" s="327"/>
      <c r="D243" s="327"/>
      <c r="E243" s="327"/>
      <c r="F243" s="327"/>
      <c r="G243" s="327"/>
    </row>
    <row r="244" spans="1:7" ht="14" x14ac:dyDescent="0.15">
      <c r="A244" s="327"/>
      <c r="B244" s="327"/>
      <c r="C244" s="327"/>
      <c r="D244" s="327"/>
      <c r="E244" s="327"/>
      <c r="F244" s="327"/>
      <c r="G244" s="333"/>
    </row>
    <row r="245" spans="1:7" ht="14" x14ac:dyDescent="0.15">
      <c r="A245" s="327"/>
      <c r="B245" s="327"/>
      <c r="C245" s="327"/>
      <c r="D245" s="327"/>
      <c r="E245" s="327"/>
      <c r="F245" s="327"/>
      <c r="G245" s="333"/>
    </row>
    <row r="246" spans="1:7" ht="14" x14ac:dyDescent="0.15">
      <c r="A246" s="335"/>
      <c r="B246" s="326"/>
      <c r="C246" s="326"/>
      <c r="D246" s="326"/>
      <c r="E246" s="326"/>
      <c r="F246" s="326"/>
      <c r="G246" s="326"/>
    </row>
    <row r="247" spans="1:7" ht="14" x14ac:dyDescent="0.15">
      <c r="A247" s="327"/>
      <c r="B247" s="327"/>
      <c r="C247" s="327"/>
      <c r="D247" s="327"/>
      <c r="E247" s="327"/>
      <c r="F247" s="327"/>
      <c r="G247" s="348"/>
    </row>
    <row r="248" spans="1:7" ht="14" x14ac:dyDescent="0.15">
      <c r="A248" s="330"/>
      <c r="B248" s="330"/>
      <c r="C248" s="327"/>
      <c r="D248" s="330"/>
      <c r="E248" s="327"/>
      <c r="F248" s="330"/>
      <c r="G248" s="331"/>
    </row>
    <row r="249" spans="1:7" ht="14" x14ac:dyDescent="0.15">
      <c r="A249" s="327"/>
      <c r="B249" s="327"/>
      <c r="C249" s="327"/>
      <c r="D249" s="327"/>
      <c r="E249" s="327"/>
      <c r="F249" s="327"/>
      <c r="G249" s="328"/>
    </row>
    <row r="250" spans="1:7" ht="14" x14ac:dyDescent="0.15">
      <c r="A250" s="330"/>
      <c r="B250" s="330"/>
      <c r="C250" s="330"/>
      <c r="D250" s="330"/>
      <c r="E250" s="330"/>
      <c r="F250" s="330"/>
      <c r="G250" s="331"/>
    </row>
    <row r="251" spans="1:7" ht="14" x14ac:dyDescent="0.15">
      <c r="A251" s="327"/>
      <c r="B251" s="327"/>
      <c r="C251" s="327"/>
      <c r="D251" s="327"/>
      <c r="E251" s="327"/>
      <c r="F251" s="327"/>
      <c r="G251" s="326"/>
    </row>
    <row r="252" spans="1:7" ht="14" x14ac:dyDescent="0.15">
      <c r="A252" s="327"/>
      <c r="B252" s="327"/>
      <c r="C252" s="327"/>
      <c r="D252" s="327"/>
      <c r="E252" s="327"/>
      <c r="F252" s="327"/>
      <c r="G252" s="328"/>
    </row>
    <row r="253" spans="1:7" ht="14" x14ac:dyDescent="0.15">
      <c r="A253" s="327"/>
      <c r="B253" s="328"/>
      <c r="C253" s="327"/>
      <c r="D253" s="327"/>
      <c r="E253" s="327"/>
      <c r="F253" s="327"/>
      <c r="G253" s="333"/>
    </row>
    <row r="254" spans="1:7" ht="14" x14ac:dyDescent="0.15">
      <c r="A254" s="327"/>
      <c r="B254" s="327"/>
      <c r="C254" s="327"/>
      <c r="D254" s="327"/>
      <c r="E254" s="326"/>
      <c r="F254" s="326"/>
      <c r="G254" s="333"/>
    </row>
    <row r="255" spans="1:7" ht="14" x14ac:dyDescent="0.15">
      <c r="A255" s="327"/>
      <c r="B255" s="327"/>
      <c r="C255" s="327"/>
      <c r="D255" s="327"/>
      <c r="E255" s="327"/>
      <c r="F255" s="327"/>
      <c r="G255" s="328"/>
    </row>
    <row r="256" spans="1:7" ht="14" x14ac:dyDescent="0.15">
      <c r="A256" s="327"/>
      <c r="B256" s="327"/>
      <c r="C256" s="328"/>
      <c r="D256" s="328"/>
      <c r="E256" s="328"/>
      <c r="F256" s="328"/>
      <c r="G256" s="328"/>
    </row>
    <row r="257" spans="1:7" ht="14" x14ac:dyDescent="0.15">
      <c r="A257" s="327"/>
      <c r="B257" s="327"/>
      <c r="C257" s="327"/>
      <c r="D257" s="337"/>
      <c r="E257" s="337"/>
      <c r="F257" s="337"/>
      <c r="G257" s="333"/>
    </row>
    <row r="258" spans="1:7" ht="14" x14ac:dyDescent="0.15">
      <c r="A258" s="327"/>
      <c r="B258" s="337"/>
      <c r="C258" s="327"/>
      <c r="D258" s="337"/>
      <c r="E258" s="327"/>
      <c r="F258" s="337"/>
      <c r="G258" s="333"/>
    </row>
    <row r="259" spans="1:7" ht="14" x14ac:dyDescent="0.15">
      <c r="A259" s="327"/>
      <c r="B259" s="327"/>
      <c r="C259" s="327"/>
      <c r="D259" s="327"/>
      <c r="E259" s="327"/>
      <c r="F259" s="327"/>
      <c r="G259" s="333"/>
    </row>
    <row r="260" spans="1:7" ht="14" x14ac:dyDescent="0.15">
      <c r="A260" s="327"/>
      <c r="B260" s="327"/>
      <c r="C260" s="327"/>
      <c r="D260" s="326"/>
      <c r="E260" s="326"/>
      <c r="F260" s="326"/>
      <c r="G260" s="333"/>
    </row>
    <row r="261" spans="1:7" ht="14" x14ac:dyDescent="0.15">
      <c r="A261" s="327"/>
      <c r="B261" s="327"/>
      <c r="C261" s="327"/>
      <c r="D261" s="327"/>
      <c r="E261" s="327"/>
      <c r="F261" s="327"/>
      <c r="G261" s="327"/>
    </row>
    <row r="262" spans="1:7" ht="14" x14ac:dyDescent="0.15">
      <c r="A262" s="327"/>
      <c r="B262" s="327"/>
      <c r="C262" s="327"/>
      <c r="D262" s="327"/>
      <c r="E262" s="327"/>
      <c r="F262" s="327"/>
      <c r="G262" s="328"/>
    </row>
    <row r="263" spans="1:7" ht="14" x14ac:dyDescent="0.15">
      <c r="A263" s="327"/>
      <c r="B263" s="327"/>
      <c r="C263" s="327"/>
      <c r="D263" s="327"/>
      <c r="E263" s="327"/>
      <c r="F263" s="327"/>
      <c r="G263" s="327"/>
    </row>
    <row r="264" spans="1:7" ht="14" x14ac:dyDescent="0.15">
      <c r="A264" s="327"/>
      <c r="B264" s="327"/>
      <c r="C264" s="327"/>
      <c r="D264" s="327"/>
      <c r="E264" s="327"/>
      <c r="F264" s="327"/>
      <c r="G264" s="333"/>
    </row>
    <row r="265" spans="1:7" ht="14" x14ac:dyDescent="0.15">
      <c r="A265" s="335"/>
      <c r="B265" s="326"/>
      <c r="C265" s="326"/>
      <c r="D265" s="326"/>
      <c r="E265" s="326"/>
      <c r="F265" s="326"/>
      <c r="G265" s="326"/>
    </row>
    <row r="266" spans="1:7" ht="14" x14ac:dyDescent="0.15">
      <c r="A266" s="326"/>
      <c r="B266" s="327"/>
      <c r="C266" s="327"/>
      <c r="D266" s="327"/>
      <c r="E266" s="327"/>
      <c r="F266" s="327"/>
      <c r="G266" s="328"/>
    </row>
    <row r="267" spans="1:7" ht="15" x14ac:dyDescent="0.2">
      <c r="A267" s="326"/>
      <c r="B267" s="326"/>
      <c r="C267" s="326"/>
      <c r="D267" s="326"/>
      <c r="E267" s="326"/>
      <c r="F267" s="326"/>
      <c r="G267" s="332"/>
    </row>
    <row r="268" spans="1:7" ht="14" x14ac:dyDescent="0.15">
      <c r="A268" s="335"/>
      <c r="B268" s="326"/>
      <c r="C268" s="327"/>
      <c r="D268" s="326"/>
      <c r="E268" s="326"/>
      <c r="F268" s="326"/>
      <c r="G268" s="326"/>
    </row>
    <row r="269" spans="1:7" ht="14" x14ac:dyDescent="0.15">
      <c r="A269" s="327"/>
      <c r="B269" s="327"/>
      <c r="C269" s="327"/>
      <c r="D269" s="327"/>
      <c r="E269" s="327"/>
      <c r="F269" s="327"/>
      <c r="G269" s="333"/>
    </row>
    <row r="270" spans="1:7" ht="14" x14ac:dyDescent="0.15">
      <c r="A270" s="327"/>
      <c r="B270" s="327"/>
      <c r="C270" s="327"/>
      <c r="D270" s="327"/>
      <c r="E270" s="327"/>
      <c r="F270" s="327"/>
      <c r="G270" s="328"/>
    </row>
    <row r="271" spans="1:7" ht="14" x14ac:dyDescent="0.15">
      <c r="A271" s="327"/>
      <c r="B271" s="327"/>
      <c r="C271" s="327"/>
      <c r="D271" s="327"/>
      <c r="E271" s="327"/>
      <c r="F271" s="327"/>
      <c r="G271" s="327"/>
    </row>
    <row r="272" spans="1:7" ht="14" x14ac:dyDescent="0.15">
      <c r="A272" s="337"/>
      <c r="B272" s="327"/>
      <c r="C272" s="337"/>
      <c r="D272" s="349"/>
      <c r="E272" s="349"/>
      <c r="F272" s="349"/>
      <c r="G272" s="333"/>
    </row>
    <row r="273" spans="1:7" ht="14" x14ac:dyDescent="0.15">
      <c r="A273" s="327"/>
      <c r="B273" s="327"/>
      <c r="C273" s="328"/>
      <c r="D273" s="328"/>
      <c r="E273" s="328"/>
      <c r="F273" s="328"/>
      <c r="G273" s="328"/>
    </row>
    <row r="274" spans="1:7" ht="14" x14ac:dyDescent="0.15">
      <c r="A274" s="327"/>
      <c r="B274" s="327"/>
      <c r="C274" s="327"/>
      <c r="D274" s="327"/>
      <c r="E274" s="327"/>
      <c r="F274" s="327"/>
      <c r="G274" s="326"/>
    </row>
    <row r="275" spans="1:7" ht="14" x14ac:dyDescent="0.15">
      <c r="A275" s="327"/>
      <c r="B275" s="327"/>
      <c r="C275" s="327"/>
      <c r="D275" s="327"/>
      <c r="E275" s="327"/>
      <c r="F275" s="327"/>
      <c r="G275" s="326"/>
    </row>
    <row r="276" spans="1:7" ht="15" x14ac:dyDescent="0.2">
      <c r="A276" s="335"/>
      <c r="B276" s="326"/>
      <c r="C276" s="326"/>
      <c r="D276" s="326"/>
      <c r="E276" s="326"/>
      <c r="F276" s="326"/>
      <c r="G276" s="332"/>
    </row>
    <row r="277" spans="1:7" ht="14" x14ac:dyDescent="0.15">
      <c r="A277" s="326"/>
      <c r="B277" s="326"/>
      <c r="C277" s="326"/>
      <c r="D277" s="326"/>
      <c r="E277" s="326"/>
      <c r="F277" s="326"/>
      <c r="G277" s="333"/>
    </row>
    <row r="278" spans="1:7" ht="14" x14ac:dyDescent="0.15">
      <c r="A278" s="326"/>
      <c r="B278" s="327"/>
      <c r="C278" s="326"/>
      <c r="D278" s="327"/>
      <c r="E278" s="327"/>
      <c r="F278" s="327"/>
      <c r="G278" s="333"/>
    </row>
    <row r="279" spans="1:7" ht="14" x14ac:dyDescent="0.15">
      <c r="A279" s="324"/>
      <c r="B279" s="340"/>
      <c r="C279" s="340"/>
      <c r="D279" s="340"/>
      <c r="E279" s="340"/>
      <c r="F279" s="324"/>
      <c r="G279" s="361"/>
    </row>
    <row r="280" spans="1:7" ht="14" x14ac:dyDescent="0.15">
      <c r="A280" s="324"/>
      <c r="B280" s="324"/>
      <c r="C280" s="324"/>
      <c r="D280" s="324"/>
      <c r="E280" s="324"/>
      <c r="F280" s="324"/>
      <c r="G280" s="334"/>
    </row>
    <row r="281" spans="1:7" ht="14" x14ac:dyDescent="0.15">
      <c r="A281" s="327"/>
      <c r="B281" s="327"/>
      <c r="C281" s="327"/>
      <c r="D281" s="327"/>
      <c r="E281" s="327"/>
      <c r="F281" s="327"/>
      <c r="G281" s="327"/>
    </row>
    <row r="282" spans="1:7" ht="14" x14ac:dyDescent="0.15">
      <c r="A282" s="327"/>
      <c r="B282" s="327"/>
      <c r="C282" s="327"/>
      <c r="D282" s="327"/>
      <c r="E282" s="327"/>
      <c r="F282" s="327"/>
      <c r="G282" s="327"/>
    </row>
    <row r="283" spans="1:7" ht="14" x14ac:dyDescent="0.15">
      <c r="A283" s="327"/>
      <c r="B283" s="327"/>
      <c r="C283" s="327"/>
      <c r="D283" s="327"/>
      <c r="E283" s="327"/>
      <c r="F283" s="327"/>
      <c r="G283" s="328"/>
    </row>
    <row r="284" spans="1:7" ht="14" x14ac:dyDescent="0.15">
      <c r="A284" s="327"/>
      <c r="B284" s="327"/>
      <c r="C284" s="328"/>
      <c r="D284" s="327"/>
      <c r="E284" s="327"/>
      <c r="F284" s="327"/>
      <c r="G284" s="328"/>
    </row>
    <row r="285" spans="1:7" ht="14" x14ac:dyDescent="0.15">
      <c r="A285" s="326"/>
      <c r="B285" s="326"/>
      <c r="C285" s="326"/>
      <c r="D285" s="326"/>
      <c r="E285" s="326"/>
      <c r="F285" s="326"/>
      <c r="G285" s="326"/>
    </row>
    <row r="286" spans="1:7" ht="14" x14ac:dyDescent="0.15">
      <c r="A286" s="327"/>
      <c r="B286" s="327"/>
      <c r="C286" s="327"/>
      <c r="D286" s="327"/>
      <c r="E286" s="327"/>
      <c r="F286" s="327"/>
      <c r="G286" s="327"/>
    </row>
    <row r="287" spans="1:7" ht="14" x14ac:dyDescent="0.15">
      <c r="A287" s="330"/>
      <c r="B287" s="330"/>
      <c r="C287" s="327"/>
      <c r="D287" s="330"/>
      <c r="E287" s="330"/>
      <c r="F287" s="330"/>
      <c r="G287" s="331"/>
    </row>
    <row r="288" spans="1:7" ht="14" x14ac:dyDescent="0.15">
      <c r="A288" s="326"/>
      <c r="B288" s="326"/>
      <c r="C288" s="326"/>
      <c r="D288" s="326"/>
      <c r="E288" s="327"/>
      <c r="F288" s="326"/>
      <c r="G288" s="326"/>
    </row>
    <row r="289" spans="1:13" ht="18" customHeight="1" x14ac:dyDescent="0.15">
      <c r="A289" s="326"/>
      <c r="B289" s="326"/>
      <c r="C289" s="327"/>
      <c r="D289" s="326"/>
      <c r="E289" s="336"/>
      <c r="F289" s="336"/>
      <c r="G289" s="333"/>
    </row>
    <row r="290" spans="1:13" ht="18" customHeight="1" x14ac:dyDescent="0.15">
      <c r="A290" s="326"/>
      <c r="B290" s="326"/>
      <c r="C290" s="326"/>
      <c r="D290" s="326"/>
      <c r="E290" s="327"/>
      <c r="F290" s="326"/>
      <c r="G290" s="326"/>
    </row>
    <row r="291" spans="1:13" ht="18" customHeight="1" x14ac:dyDescent="0.15">
      <c r="A291" s="327"/>
      <c r="B291" s="327"/>
      <c r="C291" s="327"/>
      <c r="D291" s="327"/>
      <c r="E291" s="327"/>
      <c r="F291" s="327"/>
      <c r="G291" s="328"/>
    </row>
    <row r="292" spans="1:13" ht="18" customHeight="1" x14ac:dyDescent="0.15">
      <c r="A292" s="327"/>
      <c r="B292" s="326"/>
      <c r="C292" s="326"/>
      <c r="D292" s="326"/>
      <c r="E292" s="326"/>
      <c r="F292" s="326"/>
      <c r="G292" s="326"/>
    </row>
    <row r="293" spans="1:13" ht="18" customHeight="1" x14ac:dyDescent="0.15">
      <c r="A293" s="327"/>
      <c r="B293" s="327"/>
      <c r="C293" s="327"/>
      <c r="D293" s="326"/>
      <c r="E293" s="326"/>
      <c r="F293" s="326"/>
      <c r="G293" s="326"/>
    </row>
    <row r="294" spans="1:13" ht="18" customHeight="1" x14ac:dyDescent="0.15">
      <c r="A294" s="327"/>
      <c r="B294" s="326"/>
      <c r="C294" s="327"/>
      <c r="D294" s="326"/>
      <c r="E294" s="326"/>
      <c r="F294" s="326"/>
      <c r="G294" s="333"/>
    </row>
    <row r="295" spans="1:13" ht="18" customHeight="1" x14ac:dyDescent="0.15">
      <c r="A295" s="324"/>
      <c r="B295" s="324"/>
      <c r="C295" s="324"/>
      <c r="D295" s="324"/>
      <c r="E295" s="324"/>
      <c r="F295" s="324"/>
      <c r="G295" s="324"/>
    </row>
    <row r="296" spans="1:13" ht="18" customHeight="1" x14ac:dyDescent="0.15">
      <c r="A296" s="327"/>
      <c r="B296" s="327"/>
      <c r="C296" s="327"/>
      <c r="D296" s="327"/>
      <c r="E296" s="327"/>
      <c r="F296" s="327"/>
      <c r="G296" s="328"/>
    </row>
    <row r="297" spans="1:13" ht="18" customHeight="1" x14ac:dyDescent="0.15">
      <c r="A297" s="327"/>
      <c r="B297" s="327"/>
      <c r="C297" s="327"/>
      <c r="D297" s="327"/>
      <c r="E297" s="327"/>
      <c r="F297" s="327"/>
      <c r="G297" s="327"/>
    </row>
    <row r="298" spans="1:13" ht="18" customHeight="1" x14ac:dyDescent="0.15">
      <c r="A298" s="324"/>
      <c r="B298" s="324"/>
      <c r="C298" s="324"/>
      <c r="D298" s="324"/>
      <c r="E298" s="324"/>
      <c r="F298" s="324"/>
      <c r="G298" s="324"/>
    </row>
    <row r="299" spans="1:13" ht="18" customHeight="1" x14ac:dyDescent="0.15">
      <c r="A299" s="324"/>
      <c r="B299" s="350"/>
      <c r="C299" s="350"/>
      <c r="D299" s="350"/>
      <c r="E299" s="350"/>
      <c r="F299" s="362"/>
      <c r="G299" s="362"/>
    </row>
    <row r="300" spans="1:13" ht="18" customHeight="1" x14ac:dyDescent="0.15">
      <c r="A300" s="324"/>
      <c r="B300" s="340"/>
      <c r="C300" s="350"/>
      <c r="D300" s="350"/>
      <c r="E300" s="350"/>
      <c r="F300" s="351"/>
      <c r="G300" s="351"/>
    </row>
    <row r="301" spans="1:13" ht="18" customHeight="1" x14ac:dyDescent="0.15">
      <c r="A301" s="324"/>
      <c r="B301" s="340"/>
      <c r="C301" s="350"/>
      <c r="D301" s="350"/>
      <c r="E301" s="350"/>
      <c r="F301" s="351"/>
      <c r="G301" s="351"/>
    </row>
    <row r="302" spans="1:13" ht="18" customHeight="1" x14ac:dyDescent="0.15">
      <c r="A302" s="324"/>
      <c r="B302" s="340"/>
      <c r="C302" s="350"/>
      <c r="D302" s="350"/>
      <c r="E302" s="350"/>
      <c r="F302" s="351"/>
      <c r="G302" s="351"/>
    </row>
    <row r="303" spans="1:13" ht="18" customHeight="1" x14ac:dyDescent="0.15">
      <c r="A303" s="324"/>
      <c r="B303" s="340"/>
      <c r="C303" s="350"/>
      <c r="D303" s="350"/>
      <c r="E303" s="350"/>
      <c r="F303" s="351"/>
      <c r="G303" s="351"/>
    </row>
    <row r="304" spans="1:13" ht="18" customHeight="1" x14ac:dyDescent="0.2">
      <c r="A304" s="326"/>
      <c r="B304" s="359"/>
      <c r="C304" s="359"/>
      <c r="D304" s="359"/>
      <c r="E304" s="359"/>
      <c r="F304" s="359"/>
      <c r="G304" s="359"/>
      <c r="I304" s="175"/>
      <c r="J304" s="175"/>
      <c r="K304" s="175"/>
      <c r="L304" s="175"/>
      <c r="M304" s="175"/>
    </row>
    <row r="305" spans="1:13" ht="18" customHeight="1" x14ac:dyDescent="0.2">
      <c r="A305" s="327"/>
      <c r="B305" s="359"/>
      <c r="C305" s="359"/>
      <c r="D305" s="359"/>
      <c r="E305" s="359"/>
      <c r="F305" s="359"/>
      <c r="G305" s="359"/>
      <c r="I305" s="175"/>
      <c r="J305" s="175"/>
      <c r="K305" s="175"/>
      <c r="L305" s="175"/>
      <c r="M305" s="175"/>
    </row>
    <row r="306" spans="1:13" ht="18" customHeight="1" x14ac:dyDescent="0.15">
      <c r="A306" s="327"/>
      <c r="B306" s="359"/>
      <c r="C306" s="359"/>
      <c r="D306" s="359"/>
      <c r="E306" s="359"/>
      <c r="F306" s="359"/>
      <c r="G306" s="359"/>
    </row>
    <row r="307" spans="1:13" ht="18" customHeight="1" x14ac:dyDescent="0.2">
      <c r="A307" s="326"/>
      <c r="B307" s="359"/>
      <c r="C307" s="359"/>
      <c r="D307" s="359"/>
      <c r="E307" s="359"/>
      <c r="F307" s="359"/>
      <c r="G307" s="359"/>
      <c r="H307" s="363"/>
      <c r="I307" s="175"/>
      <c r="J307" s="175"/>
      <c r="K307" s="175"/>
      <c r="L307" s="175"/>
      <c r="M307" s="175"/>
    </row>
    <row r="308" spans="1:13" ht="18" customHeight="1" x14ac:dyDescent="0.2">
      <c r="A308" s="327"/>
      <c r="B308" s="359"/>
      <c r="C308" s="359"/>
      <c r="D308" s="359"/>
      <c r="E308" s="359"/>
      <c r="F308" s="359"/>
      <c r="G308" s="364"/>
      <c r="H308" s="363"/>
      <c r="I308" s="175"/>
      <c r="J308" s="175"/>
      <c r="K308" s="175"/>
      <c r="L308" s="175"/>
      <c r="M308" s="175"/>
    </row>
    <row r="309" spans="1:13" ht="18" customHeight="1" x14ac:dyDescent="0.2">
      <c r="A309" s="327"/>
      <c r="B309" s="359"/>
      <c r="C309" s="359"/>
      <c r="D309" s="359"/>
      <c r="E309" s="359"/>
      <c r="F309" s="359"/>
      <c r="G309" s="364"/>
      <c r="H309" s="363"/>
      <c r="I309" s="175"/>
      <c r="J309" s="175"/>
      <c r="K309" s="175"/>
      <c r="L309" s="175"/>
      <c r="M309" s="175"/>
    </row>
    <row r="310" spans="1:13" ht="18" customHeight="1" x14ac:dyDescent="0.15">
      <c r="A310" s="359"/>
      <c r="B310" s="365"/>
      <c r="C310" s="359"/>
      <c r="D310" s="366"/>
      <c r="E310" s="359"/>
      <c r="F310" s="359"/>
      <c r="G310" s="364"/>
    </row>
    <row r="311" spans="1:13" ht="18" customHeight="1" x14ac:dyDescent="0.15">
      <c r="A311" s="359"/>
      <c r="B311" s="365"/>
      <c r="C311" s="359"/>
      <c r="D311" s="366"/>
      <c r="E311" s="359"/>
      <c r="F311" s="359"/>
      <c r="G311" s="364"/>
    </row>
    <row r="312" spans="1:13" ht="18" customHeight="1" x14ac:dyDescent="0.15">
      <c r="A312" s="359"/>
      <c r="B312" s="359"/>
      <c r="C312" s="359"/>
      <c r="D312" s="324"/>
      <c r="E312" s="359"/>
      <c r="F312" s="359"/>
      <c r="G312" s="364"/>
    </row>
    <row r="313" spans="1:13" ht="18" customHeight="1" x14ac:dyDescent="0.15">
      <c r="A313" s="359"/>
      <c r="B313" s="359"/>
      <c r="C313" s="359"/>
      <c r="D313" s="367"/>
      <c r="E313" s="359"/>
      <c r="F313" s="359"/>
      <c r="G313" s="368"/>
    </row>
    <row r="314" spans="1:13" ht="18" customHeight="1" x14ac:dyDescent="0.15">
      <c r="A314" s="359"/>
      <c r="B314" s="359"/>
      <c r="C314" s="359"/>
      <c r="D314" s="324"/>
      <c r="E314" s="359"/>
      <c r="F314" s="359"/>
      <c r="G314" s="369"/>
    </row>
    <row r="315" spans="1:13" ht="18" customHeight="1" x14ac:dyDescent="0.15">
      <c r="A315" s="359"/>
      <c r="B315" s="359"/>
      <c r="C315" s="359"/>
      <c r="D315" s="324"/>
      <c r="E315" s="359"/>
      <c r="F315" s="359"/>
      <c r="G315" s="359"/>
    </row>
    <row r="316" spans="1:13" ht="18" customHeight="1" x14ac:dyDescent="0.15">
      <c r="A316" s="359"/>
      <c r="B316" s="359"/>
      <c r="C316" s="359"/>
      <c r="D316" s="324"/>
      <c r="E316" s="359"/>
      <c r="F316" s="359"/>
      <c r="G316" s="364"/>
    </row>
    <row r="317" spans="1:13" ht="18" customHeight="1" x14ac:dyDescent="0.15">
      <c r="A317" s="359"/>
      <c r="B317" s="359"/>
      <c r="C317" s="359"/>
      <c r="D317" s="324"/>
      <c r="E317" s="359"/>
      <c r="F317" s="359"/>
      <c r="G317" s="364"/>
    </row>
    <row r="318" spans="1:13" ht="18" customHeight="1" x14ac:dyDescent="0.15">
      <c r="A318" s="359"/>
      <c r="B318" s="359"/>
      <c r="C318" s="359"/>
      <c r="D318" s="349"/>
      <c r="E318" s="359"/>
      <c r="F318" s="359"/>
      <c r="G318" s="324"/>
    </row>
    <row r="319" spans="1:13" ht="18" customHeight="1" x14ac:dyDescent="0.15">
      <c r="A319" s="359"/>
      <c r="B319" s="359"/>
      <c r="C319" s="359"/>
      <c r="D319" s="370"/>
      <c r="E319" s="359"/>
      <c r="F319" s="359"/>
      <c r="G319" s="364"/>
    </row>
    <row r="320" spans="1:13" ht="18" customHeight="1" x14ac:dyDescent="0.15">
      <c r="A320" s="359"/>
      <c r="B320" s="324"/>
      <c r="C320" s="359"/>
      <c r="D320" s="371"/>
      <c r="E320" s="359"/>
      <c r="F320" s="359"/>
      <c r="G320" s="372"/>
    </row>
    <row r="321" spans="1:7" ht="14" x14ac:dyDescent="0.15">
      <c r="A321" s="359"/>
      <c r="B321" s="367"/>
      <c r="C321" s="359"/>
      <c r="D321" s="367"/>
      <c r="E321" s="359"/>
      <c r="F321" s="359"/>
      <c r="G321" s="359"/>
    </row>
    <row r="322" spans="1:7" ht="14" x14ac:dyDescent="0.15">
      <c r="A322" s="359"/>
      <c r="B322" s="327"/>
      <c r="C322" s="359"/>
      <c r="D322" s="324"/>
      <c r="E322" s="359"/>
      <c r="F322" s="359"/>
      <c r="G322" s="324"/>
    </row>
    <row r="323" spans="1:7" ht="14" x14ac:dyDescent="0.15">
      <c r="A323" s="359"/>
      <c r="B323" s="359"/>
      <c r="C323" s="359"/>
      <c r="D323" s="324"/>
      <c r="E323" s="359"/>
      <c r="F323" s="359"/>
      <c r="G323" s="359"/>
    </row>
    <row r="324" spans="1:7" ht="14" x14ac:dyDescent="0.15">
      <c r="A324" s="359"/>
      <c r="B324" s="359"/>
      <c r="C324" s="359"/>
      <c r="D324" s="324"/>
      <c r="E324" s="359"/>
      <c r="F324" s="359"/>
      <c r="G324" s="364"/>
    </row>
    <row r="325" spans="1:7" ht="14" x14ac:dyDescent="0.15">
      <c r="A325" s="373"/>
      <c r="B325" s="327"/>
      <c r="C325" s="373"/>
      <c r="D325" s="327"/>
      <c r="E325" s="359"/>
      <c r="F325" s="359"/>
      <c r="G325" s="374"/>
    </row>
    <row r="326" spans="1:7" ht="14" x14ac:dyDescent="0.15">
      <c r="A326" s="373"/>
      <c r="B326" s="373"/>
      <c r="C326" s="373"/>
      <c r="D326" s="327"/>
      <c r="E326" s="359"/>
      <c r="F326" s="359"/>
      <c r="G326" s="374"/>
    </row>
    <row r="327" spans="1:7" ht="14" x14ac:dyDescent="0.15">
      <c r="A327" s="373"/>
      <c r="B327" s="327"/>
      <c r="C327" s="373"/>
      <c r="D327" s="327"/>
      <c r="E327" s="359"/>
      <c r="F327" s="359"/>
      <c r="G327" s="375"/>
    </row>
    <row r="328" spans="1:7" ht="14" x14ac:dyDescent="0.15">
      <c r="A328" s="373"/>
      <c r="B328" s="373"/>
      <c r="C328" s="373"/>
      <c r="D328" s="327"/>
      <c r="E328" s="359"/>
      <c r="F328" s="359"/>
      <c r="G328" s="374"/>
    </row>
    <row r="329" spans="1:7" ht="14" x14ac:dyDescent="0.15">
      <c r="A329" s="373"/>
      <c r="B329" s="373"/>
      <c r="C329" s="373"/>
      <c r="D329" s="327"/>
      <c r="E329" s="359"/>
      <c r="F329" s="359"/>
      <c r="G329" s="374"/>
    </row>
    <row r="330" spans="1:7" ht="14" x14ac:dyDescent="0.15">
      <c r="A330" s="373"/>
      <c r="B330" s="373"/>
      <c r="C330" s="373"/>
      <c r="D330" s="327"/>
      <c r="E330" s="359"/>
      <c r="F330" s="359"/>
      <c r="G330" s="374"/>
    </row>
    <row r="331" spans="1:7" ht="14" x14ac:dyDescent="0.15">
      <c r="A331" s="373"/>
      <c r="B331" s="373"/>
      <c r="C331" s="373"/>
      <c r="D331" s="327"/>
      <c r="E331" s="359"/>
      <c r="F331" s="359"/>
      <c r="G331" s="374"/>
    </row>
    <row r="332" spans="1:7" ht="14" x14ac:dyDescent="0.15">
      <c r="A332" s="373"/>
      <c r="B332" s="373"/>
      <c r="C332" s="373"/>
      <c r="D332" s="327"/>
      <c r="E332" s="359"/>
      <c r="F332" s="359"/>
      <c r="G332" s="374"/>
    </row>
    <row r="333" spans="1:7" ht="14" x14ac:dyDescent="0.15">
      <c r="A333" s="373"/>
      <c r="B333" s="373"/>
      <c r="C333" s="373"/>
      <c r="D333" s="327"/>
      <c r="E333" s="359"/>
      <c r="F333" s="359"/>
      <c r="G333" s="374"/>
    </row>
    <row r="334" spans="1:7" ht="14" x14ac:dyDescent="0.15">
      <c r="A334" s="373"/>
      <c r="B334" s="373"/>
      <c r="C334" s="373"/>
      <c r="D334" s="327"/>
      <c r="E334" s="359"/>
      <c r="F334" s="359"/>
      <c r="G334" s="374"/>
    </row>
    <row r="335" spans="1:7" ht="14" x14ac:dyDescent="0.15">
      <c r="A335" s="373"/>
      <c r="B335" s="373"/>
      <c r="C335" s="373"/>
      <c r="D335" s="327"/>
      <c r="E335" s="359"/>
      <c r="F335" s="359"/>
      <c r="G335" s="374"/>
    </row>
    <row r="336" spans="1:7" ht="14" x14ac:dyDescent="0.15">
      <c r="A336" s="373"/>
      <c r="B336" s="373"/>
      <c r="C336" s="373"/>
      <c r="D336" s="327"/>
      <c r="E336" s="359"/>
      <c r="F336" s="359"/>
      <c r="G336" s="374"/>
    </row>
    <row r="337" spans="1:7" ht="14" x14ac:dyDescent="0.15">
      <c r="A337" s="373"/>
      <c r="B337" s="376"/>
      <c r="C337" s="373"/>
      <c r="D337" s="327"/>
      <c r="E337" s="359"/>
      <c r="F337" s="359"/>
      <c r="G337" s="377"/>
    </row>
    <row r="338" spans="1:7" ht="14" x14ac:dyDescent="0.15">
      <c r="A338" s="373"/>
      <c r="B338" s="327"/>
      <c r="C338" s="373"/>
      <c r="D338" s="327"/>
      <c r="E338" s="359"/>
      <c r="F338" s="359"/>
      <c r="G338" s="377"/>
    </row>
    <row r="339" spans="1:7" ht="14" x14ac:dyDescent="0.15">
      <c r="A339" s="373"/>
      <c r="B339" s="327"/>
      <c r="C339" s="373"/>
      <c r="D339" s="327"/>
      <c r="E339" s="359"/>
      <c r="F339" s="359"/>
      <c r="G339" s="374"/>
    </row>
    <row r="340" spans="1:7" ht="14" x14ac:dyDescent="0.15">
      <c r="A340" s="373"/>
      <c r="B340" s="327"/>
      <c r="C340" s="373"/>
      <c r="D340" s="327"/>
      <c r="E340" s="359"/>
      <c r="F340" s="359"/>
      <c r="G340" s="378"/>
    </row>
    <row r="341" spans="1:7" ht="14" x14ac:dyDescent="0.15">
      <c r="A341" s="373"/>
      <c r="B341" s="373"/>
      <c r="C341" s="373"/>
      <c r="D341" s="327"/>
      <c r="E341" s="359"/>
      <c r="F341" s="359"/>
      <c r="G341" s="374"/>
    </row>
    <row r="342" spans="1:7" ht="14" x14ac:dyDescent="0.15">
      <c r="A342" s="373"/>
      <c r="B342" s="327"/>
      <c r="C342" s="373"/>
      <c r="D342" s="327"/>
      <c r="E342" s="359"/>
      <c r="F342" s="359"/>
      <c r="G342" s="374"/>
    </row>
    <row r="343" spans="1:7" ht="14" x14ac:dyDescent="0.15">
      <c r="A343" s="373"/>
      <c r="B343" s="373"/>
      <c r="C343" s="373"/>
      <c r="D343" s="327"/>
      <c r="E343" s="359"/>
      <c r="F343" s="359"/>
      <c r="G343" s="374"/>
    </row>
    <row r="344" spans="1:7" ht="14" x14ac:dyDescent="0.15">
      <c r="A344" s="373"/>
      <c r="B344" s="373"/>
      <c r="C344" s="373"/>
      <c r="D344" s="327"/>
      <c r="E344" s="359"/>
      <c r="F344" s="359"/>
      <c r="G344" s="374"/>
    </row>
    <row r="345" spans="1:7" ht="14" x14ac:dyDescent="0.15">
      <c r="A345" s="373"/>
      <c r="B345" s="373"/>
      <c r="C345" s="373"/>
      <c r="D345" s="327"/>
      <c r="E345" s="359"/>
      <c r="F345" s="359"/>
      <c r="G345" s="374"/>
    </row>
    <row r="346" spans="1:7" ht="14" x14ac:dyDescent="0.15">
      <c r="A346" s="373"/>
      <c r="B346" s="373"/>
      <c r="C346" s="373"/>
      <c r="D346" s="327"/>
      <c r="E346" s="359"/>
      <c r="F346" s="359"/>
      <c r="G346" s="374"/>
    </row>
    <row r="347" spans="1:7" ht="14" x14ac:dyDescent="0.15">
      <c r="A347" s="373"/>
      <c r="B347" s="373"/>
      <c r="C347" s="373"/>
      <c r="D347" s="327"/>
      <c r="E347" s="359"/>
      <c r="F347" s="359"/>
      <c r="G347" s="374"/>
    </row>
    <row r="348" spans="1:7" ht="14" x14ac:dyDescent="0.15">
      <c r="A348" s="373"/>
      <c r="B348" s="327"/>
      <c r="C348" s="379"/>
      <c r="D348" s="327"/>
      <c r="E348" s="359"/>
      <c r="F348" s="359"/>
      <c r="G348" s="377"/>
    </row>
    <row r="349" spans="1:7" ht="14" x14ac:dyDescent="0.15">
      <c r="A349" s="373"/>
      <c r="B349" s="373"/>
      <c r="C349" s="373"/>
      <c r="D349" s="327"/>
      <c r="E349" s="359"/>
      <c r="F349" s="359"/>
      <c r="G349" s="374"/>
    </row>
    <row r="350" spans="1:7" ht="14" x14ac:dyDescent="0.15">
      <c r="A350" s="373"/>
      <c r="B350" s="373"/>
      <c r="C350" s="373"/>
      <c r="D350" s="327"/>
      <c r="E350" s="359"/>
      <c r="F350" s="359"/>
      <c r="G350" s="374"/>
    </row>
    <row r="351" spans="1:7" ht="14" x14ac:dyDescent="0.15">
      <c r="A351" s="373"/>
      <c r="B351" s="373"/>
      <c r="C351" s="373"/>
      <c r="D351" s="327"/>
      <c r="E351" s="359"/>
      <c r="F351" s="359"/>
      <c r="G351" s="374"/>
    </row>
    <row r="352" spans="1:7" ht="14" x14ac:dyDescent="0.15">
      <c r="A352" s="373"/>
      <c r="B352" s="373"/>
      <c r="C352" s="373"/>
      <c r="D352" s="327"/>
      <c r="E352" s="359"/>
      <c r="F352" s="359"/>
      <c r="G352" s="374"/>
    </row>
    <row r="353" spans="1:7" ht="14" x14ac:dyDescent="0.15">
      <c r="A353" s="373"/>
      <c r="B353" s="373"/>
      <c r="C353" s="373"/>
      <c r="D353" s="327"/>
      <c r="E353" s="359"/>
      <c r="F353" s="359"/>
      <c r="G353" s="374"/>
    </row>
    <row r="354" spans="1:7" ht="14" x14ac:dyDescent="0.15">
      <c r="A354" s="373"/>
      <c r="B354" s="373"/>
      <c r="C354" s="373"/>
      <c r="D354" s="327"/>
      <c r="E354" s="359"/>
      <c r="F354" s="359"/>
      <c r="G354" s="374"/>
    </row>
    <row r="355" spans="1:7" ht="14" x14ac:dyDescent="0.15">
      <c r="A355" s="373"/>
      <c r="B355" s="373"/>
      <c r="C355" s="373"/>
      <c r="D355" s="327"/>
      <c r="E355" s="359"/>
      <c r="F355" s="359"/>
      <c r="G355" s="374"/>
    </row>
    <row r="356" spans="1:7" ht="14" x14ac:dyDescent="0.15">
      <c r="A356" s="373"/>
      <c r="B356" s="373"/>
      <c r="C356" s="373"/>
      <c r="D356" s="327"/>
      <c r="E356" s="359"/>
      <c r="F356" s="359"/>
      <c r="G356" s="374"/>
    </row>
    <row r="357" spans="1:7" ht="14" x14ac:dyDescent="0.15">
      <c r="A357" s="373"/>
      <c r="B357" s="373"/>
      <c r="C357" s="373"/>
      <c r="D357" s="327"/>
      <c r="E357" s="359"/>
      <c r="F357" s="359"/>
      <c r="G357" s="374"/>
    </row>
    <row r="358" spans="1:7" ht="14" x14ac:dyDescent="0.15">
      <c r="A358" s="373"/>
      <c r="B358" s="373"/>
      <c r="C358" s="373"/>
      <c r="D358" s="327"/>
      <c r="E358" s="359"/>
      <c r="F358" s="359"/>
      <c r="G358" s="374"/>
    </row>
    <row r="359" spans="1:7" ht="14" x14ac:dyDescent="0.15">
      <c r="A359" s="373"/>
      <c r="B359" s="373"/>
      <c r="C359" s="373"/>
      <c r="D359" s="327"/>
      <c r="E359" s="359"/>
      <c r="F359" s="359"/>
      <c r="G359" s="374"/>
    </row>
    <row r="360" spans="1:7" ht="14" x14ac:dyDescent="0.15">
      <c r="A360" s="373"/>
      <c r="B360" s="373"/>
      <c r="C360" s="373"/>
      <c r="D360" s="327"/>
      <c r="E360" s="359"/>
      <c r="F360" s="359"/>
      <c r="G360" s="374"/>
    </row>
    <row r="361" spans="1:7" ht="14" x14ac:dyDescent="0.15">
      <c r="A361" s="373"/>
      <c r="B361" s="373"/>
      <c r="C361" s="373"/>
      <c r="D361" s="327"/>
      <c r="E361" s="359"/>
      <c r="F361" s="359"/>
      <c r="G361" s="374"/>
    </row>
    <row r="362" spans="1:7" ht="14" x14ac:dyDescent="0.15">
      <c r="A362" s="373"/>
      <c r="B362" s="373"/>
      <c r="C362" s="373"/>
      <c r="D362" s="327"/>
      <c r="E362" s="359"/>
      <c r="F362" s="359"/>
      <c r="G362" s="374"/>
    </row>
    <row r="363" spans="1:7" ht="14" x14ac:dyDescent="0.15">
      <c r="A363" s="373"/>
      <c r="B363" s="373"/>
      <c r="C363" s="373"/>
      <c r="D363" s="327"/>
      <c r="E363" s="359"/>
      <c r="F363" s="359"/>
      <c r="G363" s="374"/>
    </row>
    <row r="364" spans="1:7" ht="14" x14ac:dyDescent="0.15">
      <c r="A364" s="373"/>
      <c r="B364" s="373"/>
      <c r="C364" s="373"/>
      <c r="D364" s="327"/>
      <c r="E364" s="359"/>
      <c r="F364" s="359"/>
      <c r="G364" s="374"/>
    </row>
    <row r="365" spans="1:7" ht="14" x14ac:dyDescent="0.15">
      <c r="A365" s="373"/>
      <c r="B365" s="373"/>
      <c r="C365" s="373"/>
      <c r="D365" s="327"/>
      <c r="E365" s="359"/>
      <c r="F365" s="359"/>
      <c r="G365" s="374"/>
    </row>
    <row r="366" spans="1:7" ht="14" x14ac:dyDescent="0.15">
      <c r="A366" s="373"/>
      <c r="B366" s="373"/>
      <c r="C366" s="373"/>
      <c r="D366" s="327"/>
      <c r="E366" s="359"/>
      <c r="F366" s="359"/>
      <c r="G366" s="374"/>
    </row>
    <row r="367" spans="1:7" ht="14" x14ac:dyDescent="0.15">
      <c r="A367" s="373"/>
      <c r="B367" s="373"/>
      <c r="C367" s="373"/>
      <c r="D367" s="327"/>
      <c r="E367" s="359"/>
      <c r="F367" s="359"/>
      <c r="G367" s="374"/>
    </row>
    <row r="368" spans="1:7" ht="14" x14ac:dyDescent="0.15">
      <c r="A368" s="373"/>
      <c r="B368" s="373"/>
      <c r="C368" s="373"/>
      <c r="D368" s="327"/>
      <c r="E368" s="359"/>
      <c r="F368" s="359"/>
      <c r="G368" s="374"/>
    </row>
    <row r="369" spans="1:7" ht="14" x14ac:dyDescent="0.15">
      <c r="A369" s="373"/>
      <c r="B369" s="373"/>
      <c r="C369" s="373"/>
      <c r="D369" s="327"/>
      <c r="E369" s="359"/>
      <c r="F369" s="359"/>
      <c r="G369" s="374"/>
    </row>
    <row r="370" spans="1:7" ht="14" x14ac:dyDescent="0.15">
      <c r="A370" s="373"/>
      <c r="B370" s="373"/>
      <c r="C370" s="373"/>
      <c r="D370" s="327"/>
      <c r="E370" s="359"/>
      <c r="F370" s="359"/>
      <c r="G370" s="374"/>
    </row>
    <row r="371" spans="1:7" ht="15" x14ac:dyDescent="0.2">
      <c r="A371" s="359"/>
      <c r="B371" s="359"/>
      <c r="C371" s="359"/>
      <c r="D371" s="324"/>
      <c r="E371" s="359"/>
      <c r="F371" s="359"/>
      <c r="G371" s="380"/>
    </row>
    <row r="372" spans="1:7" ht="14" x14ac:dyDescent="0.15">
      <c r="A372" s="327"/>
      <c r="B372" s="327"/>
      <c r="C372" s="327"/>
      <c r="D372" s="349"/>
      <c r="E372" s="349"/>
      <c r="F372" s="349"/>
      <c r="G372" s="349"/>
    </row>
    <row r="373" spans="1:7" ht="14" x14ac:dyDescent="0.15">
      <c r="A373" s="326"/>
      <c r="B373" s="326"/>
      <c r="C373" s="326"/>
      <c r="D373" s="326"/>
      <c r="E373" s="326"/>
      <c r="F373" s="326"/>
      <c r="G373" s="333"/>
    </row>
    <row r="374" spans="1:7" ht="14" x14ac:dyDescent="0.15">
      <c r="A374" s="327"/>
      <c r="B374" s="326"/>
      <c r="C374" s="327"/>
      <c r="D374" s="327"/>
      <c r="E374" s="336"/>
      <c r="F374" s="336"/>
      <c r="G374" s="326"/>
    </row>
    <row r="375" spans="1:7" ht="14" x14ac:dyDescent="0.15">
      <c r="A375" s="330"/>
      <c r="B375" s="330"/>
      <c r="C375" s="330"/>
      <c r="D375" s="330"/>
      <c r="E375" s="330"/>
      <c r="F375" s="330"/>
      <c r="G375" s="331"/>
    </row>
    <row r="376" spans="1:7" ht="14" x14ac:dyDescent="0.15">
      <c r="A376" s="326"/>
      <c r="B376" s="327"/>
      <c r="C376" s="327"/>
      <c r="D376" s="327"/>
      <c r="E376" s="326"/>
      <c r="F376" s="326"/>
      <c r="G376" s="326"/>
    </row>
    <row r="377" spans="1:7" ht="14" x14ac:dyDescent="0.15">
      <c r="A377" s="327"/>
      <c r="B377" s="327"/>
      <c r="C377" s="327"/>
      <c r="D377" s="327"/>
      <c r="E377" s="327"/>
      <c r="F377" s="327"/>
      <c r="G377" s="328"/>
    </row>
    <row r="378" spans="1:7" ht="14" x14ac:dyDescent="0.15">
      <c r="A378" s="327"/>
      <c r="B378" s="327"/>
      <c r="C378" s="327"/>
      <c r="D378" s="327"/>
      <c r="E378" s="327"/>
      <c r="F378" s="327"/>
      <c r="G378" s="327"/>
    </row>
    <row r="379" spans="1:7" ht="14" x14ac:dyDescent="0.15">
      <c r="A379" s="327"/>
      <c r="B379" s="327"/>
      <c r="C379" s="327"/>
      <c r="D379" s="326"/>
      <c r="E379" s="326"/>
      <c r="F379" s="326"/>
      <c r="G379" s="326"/>
    </row>
    <row r="380" spans="1:7" ht="14" x14ac:dyDescent="0.15">
      <c r="A380" s="327"/>
      <c r="B380" s="327"/>
      <c r="C380" s="327"/>
      <c r="D380" s="327"/>
      <c r="E380" s="327"/>
      <c r="F380" s="327"/>
      <c r="G380" s="327"/>
    </row>
    <row r="381" spans="1:7" ht="14" x14ac:dyDescent="0.15">
      <c r="A381" s="337"/>
      <c r="B381" s="327"/>
      <c r="C381" s="337"/>
      <c r="D381" s="349"/>
      <c r="E381" s="349"/>
      <c r="F381" s="349"/>
      <c r="G381" s="333"/>
    </row>
    <row r="382" spans="1:7" ht="14" x14ac:dyDescent="0.15">
      <c r="A382" s="326"/>
      <c r="B382" s="326"/>
      <c r="C382" s="327"/>
      <c r="D382" s="326"/>
      <c r="E382" s="326"/>
      <c r="F382" s="326"/>
      <c r="G382" s="326"/>
    </row>
    <row r="383" spans="1:7" ht="14" x14ac:dyDescent="0.15">
      <c r="A383" s="337"/>
      <c r="B383" s="327"/>
      <c r="C383" s="327"/>
      <c r="D383" s="327"/>
      <c r="E383" s="327"/>
      <c r="F383" s="327"/>
      <c r="G383" s="328"/>
    </row>
    <row r="384" spans="1:7" ht="14" x14ac:dyDescent="0.15">
      <c r="A384" s="326"/>
      <c r="B384" s="326"/>
      <c r="C384" s="327"/>
      <c r="D384" s="326"/>
      <c r="E384" s="355"/>
      <c r="F384" s="326"/>
      <c r="G384" s="326"/>
    </row>
    <row r="385" spans="1:7" ht="14" x14ac:dyDescent="0.15">
      <c r="A385" s="327"/>
      <c r="B385" s="327"/>
      <c r="C385" s="327"/>
      <c r="D385" s="327"/>
      <c r="E385" s="327"/>
      <c r="F385" s="327"/>
      <c r="G385" s="326"/>
    </row>
    <row r="386" spans="1:7" ht="14" x14ac:dyDescent="0.15">
      <c r="A386" s="337"/>
      <c r="B386" s="327"/>
      <c r="C386" s="327"/>
      <c r="D386" s="327"/>
      <c r="E386" s="327"/>
      <c r="F386" s="327"/>
      <c r="G386" s="333"/>
    </row>
    <row r="387" spans="1:7" ht="14" x14ac:dyDescent="0.15">
      <c r="A387" s="327"/>
      <c r="B387" s="327"/>
      <c r="C387" s="327"/>
      <c r="D387" s="327"/>
      <c r="E387" s="327"/>
      <c r="F387" s="327"/>
      <c r="G387" s="328"/>
    </row>
    <row r="388" spans="1:7" ht="14" x14ac:dyDescent="0.15">
      <c r="A388" s="326"/>
      <c r="B388" s="326"/>
      <c r="C388" s="326"/>
      <c r="D388" s="326"/>
      <c r="E388" s="326"/>
      <c r="F388" s="326"/>
      <c r="G388" s="326"/>
    </row>
    <row r="389" spans="1:7" ht="14" x14ac:dyDescent="0.15">
      <c r="A389" s="337"/>
      <c r="B389" s="327"/>
      <c r="C389" s="327"/>
      <c r="D389" s="327"/>
      <c r="E389" s="327"/>
      <c r="F389" s="327"/>
      <c r="G389" s="328"/>
    </row>
    <row r="390" spans="1:7" ht="14" x14ac:dyDescent="0.15">
      <c r="A390" s="327"/>
      <c r="B390" s="327"/>
      <c r="C390" s="327"/>
      <c r="D390" s="327"/>
      <c r="E390" s="327"/>
      <c r="F390" s="327"/>
      <c r="G390" s="328"/>
    </row>
    <row r="391" spans="1:7" ht="14" x14ac:dyDescent="0.15">
      <c r="A391" s="327"/>
      <c r="B391" s="327"/>
      <c r="C391" s="328"/>
      <c r="D391" s="328"/>
      <c r="E391" s="328"/>
      <c r="F391" s="328"/>
      <c r="G391" s="328"/>
    </row>
    <row r="392" spans="1:7" ht="14" x14ac:dyDescent="0.15">
      <c r="A392" s="327"/>
      <c r="B392" s="327"/>
      <c r="C392" s="327"/>
      <c r="D392" s="327"/>
      <c r="E392" s="327"/>
      <c r="F392" s="327"/>
      <c r="G392" s="326"/>
    </row>
    <row r="393" spans="1:7" ht="14" x14ac:dyDescent="0.15">
      <c r="A393" s="327"/>
      <c r="B393" s="327"/>
      <c r="C393" s="327"/>
      <c r="D393" s="327"/>
      <c r="E393" s="327"/>
      <c r="F393" s="327"/>
      <c r="G393" s="326"/>
    </row>
    <row r="394" spans="1:7" ht="14" x14ac:dyDescent="0.15">
      <c r="A394" s="327"/>
      <c r="B394" s="327"/>
      <c r="C394" s="328"/>
      <c r="D394" s="328"/>
      <c r="E394" s="328"/>
      <c r="F394" s="328"/>
      <c r="G394" s="328"/>
    </row>
    <row r="395" spans="1:7" ht="14" x14ac:dyDescent="0.15">
      <c r="A395" s="326"/>
      <c r="B395" s="326"/>
      <c r="C395" s="327"/>
      <c r="D395" s="326"/>
      <c r="E395" s="336"/>
      <c r="F395" s="336"/>
      <c r="G395" s="333"/>
    </row>
    <row r="396" spans="1:7" ht="14" x14ac:dyDescent="0.15">
      <c r="A396" s="327"/>
      <c r="B396" s="327"/>
      <c r="C396" s="327"/>
      <c r="D396" s="327"/>
      <c r="E396" s="327"/>
      <c r="F396" s="327"/>
      <c r="G396" s="333"/>
    </row>
    <row r="397" spans="1:7" ht="14" x14ac:dyDescent="0.15">
      <c r="A397" s="327"/>
      <c r="B397" s="327"/>
      <c r="C397" s="327"/>
      <c r="D397" s="327"/>
      <c r="E397" s="327"/>
      <c r="F397" s="327"/>
      <c r="G397" s="328"/>
    </row>
    <row r="398" spans="1:7" ht="14" x14ac:dyDescent="0.15">
      <c r="A398" s="326"/>
      <c r="B398" s="326"/>
      <c r="C398" s="326"/>
      <c r="D398" s="326"/>
      <c r="E398" s="327"/>
      <c r="F398" s="326"/>
      <c r="G398" s="326"/>
    </row>
    <row r="399" spans="1:7" ht="14" x14ac:dyDescent="0.15">
      <c r="A399" s="327"/>
      <c r="B399" s="327"/>
      <c r="C399" s="328"/>
      <c r="D399" s="328"/>
      <c r="E399" s="328"/>
      <c r="F399" s="328"/>
      <c r="G399" s="328"/>
    </row>
    <row r="400" spans="1:7" ht="14" x14ac:dyDescent="0.15">
      <c r="A400" s="327"/>
      <c r="B400" s="327"/>
      <c r="C400" s="328"/>
      <c r="D400" s="328"/>
      <c r="E400" s="328"/>
      <c r="F400" s="328"/>
      <c r="G400" s="328"/>
    </row>
    <row r="401" spans="1:7" ht="14" x14ac:dyDescent="0.15">
      <c r="A401" s="327"/>
      <c r="B401" s="327"/>
      <c r="C401" s="327"/>
      <c r="D401" s="327"/>
      <c r="E401" s="327"/>
      <c r="F401" s="327"/>
      <c r="G401" s="328"/>
    </row>
    <row r="402" spans="1:7" ht="14" x14ac:dyDescent="0.15">
      <c r="A402" s="327"/>
      <c r="B402" s="327"/>
      <c r="C402" s="327"/>
      <c r="D402" s="327"/>
      <c r="E402" s="327"/>
      <c r="F402" s="327"/>
      <c r="G402" s="328"/>
    </row>
    <row r="403" spans="1:7" ht="14" x14ac:dyDescent="0.15">
      <c r="A403" s="327"/>
      <c r="B403" s="327"/>
      <c r="C403" s="327"/>
      <c r="D403" s="327"/>
      <c r="E403" s="327"/>
      <c r="F403" s="327"/>
      <c r="G403" s="327"/>
    </row>
    <row r="404" spans="1:7" ht="14" x14ac:dyDescent="0.15">
      <c r="A404" s="327"/>
      <c r="B404" s="327"/>
      <c r="C404" s="327"/>
      <c r="D404" s="327"/>
      <c r="E404" s="327"/>
      <c r="F404" s="327"/>
      <c r="G404" s="360"/>
    </row>
    <row r="405" spans="1:7" ht="14" x14ac:dyDescent="0.15">
      <c r="A405" s="327"/>
      <c r="B405" s="327"/>
      <c r="C405" s="327"/>
      <c r="D405" s="326"/>
      <c r="E405" s="326"/>
      <c r="F405" s="326"/>
      <c r="G405" s="327"/>
    </row>
    <row r="406" spans="1:7" ht="14" x14ac:dyDescent="0.15">
      <c r="A406" s="327"/>
      <c r="B406" s="326"/>
      <c r="C406" s="326"/>
      <c r="D406" s="326"/>
      <c r="E406" s="326"/>
      <c r="F406" s="326"/>
      <c r="G406" s="326"/>
    </row>
    <row r="407" spans="1:7" ht="14" x14ac:dyDescent="0.15">
      <c r="A407" s="327"/>
      <c r="B407" s="327"/>
      <c r="C407" s="327"/>
      <c r="D407" s="326"/>
      <c r="E407" s="326"/>
      <c r="F407" s="326"/>
      <c r="G407" s="326"/>
    </row>
    <row r="408" spans="1:7" ht="14" x14ac:dyDescent="0.15">
      <c r="A408" s="327"/>
      <c r="B408" s="327"/>
      <c r="C408" s="327"/>
      <c r="D408" s="327"/>
      <c r="E408" s="327"/>
      <c r="F408" s="327"/>
      <c r="G408" s="326"/>
    </row>
    <row r="409" spans="1:7" ht="14" x14ac:dyDescent="0.15">
      <c r="A409" s="327"/>
      <c r="B409" s="327"/>
      <c r="C409" s="337"/>
      <c r="D409" s="326"/>
      <c r="E409" s="326"/>
      <c r="F409" s="326"/>
      <c r="G409" s="326"/>
    </row>
    <row r="410" spans="1:7" ht="14" x14ac:dyDescent="0.15">
      <c r="A410" s="335"/>
      <c r="B410" s="326"/>
      <c r="C410" s="326"/>
      <c r="D410" s="326"/>
      <c r="E410" s="326"/>
      <c r="F410" s="326"/>
      <c r="G410" s="326"/>
    </row>
    <row r="411" spans="1:7" ht="14" x14ac:dyDescent="0.15">
      <c r="A411" s="327"/>
      <c r="B411" s="327"/>
      <c r="C411" s="337"/>
      <c r="D411" s="326"/>
      <c r="E411" s="326"/>
      <c r="F411" s="326"/>
      <c r="G411" s="326"/>
    </row>
    <row r="412" spans="1:7" ht="14" x14ac:dyDescent="0.15">
      <c r="A412" s="327"/>
      <c r="B412" s="327"/>
      <c r="C412" s="337"/>
      <c r="D412" s="326"/>
      <c r="E412" s="326"/>
      <c r="F412" s="326"/>
      <c r="G412" s="326"/>
    </row>
    <row r="413" spans="1:7" ht="14" x14ac:dyDescent="0.15">
      <c r="A413" s="327"/>
      <c r="B413" s="327"/>
      <c r="C413" s="327"/>
      <c r="D413" s="326"/>
      <c r="E413" s="326"/>
      <c r="F413" s="326"/>
      <c r="G413" s="337"/>
    </row>
    <row r="414" spans="1:7" ht="14" x14ac:dyDescent="0.15">
      <c r="A414" s="327"/>
      <c r="B414" s="327"/>
      <c r="C414" s="327"/>
      <c r="D414" s="326"/>
      <c r="E414" s="326"/>
      <c r="F414" s="326"/>
      <c r="G414" s="337"/>
    </row>
    <row r="415" spans="1:7" ht="14" x14ac:dyDescent="0.15">
      <c r="A415" s="327"/>
      <c r="B415" s="327"/>
      <c r="C415" s="327"/>
      <c r="D415" s="327"/>
      <c r="E415" s="327"/>
      <c r="F415" s="327"/>
      <c r="G415" s="328"/>
    </row>
    <row r="416" spans="1:7" ht="14" x14ac:dyDescent="0.15">
      <c r="A416" s="327"/>
      <c r="B416" s="327"/>
      <c r="C416" s="327"/>
      <c r="D416" s="324"/>
      <c r="E416" s="327"/>
      <c r="F416" s="327"/>
      <c r="G416" s="328"/>
    </row>
    <row r="417" spans="1:7" ht="14" x14ac:dyDescent="0.15">
      <c r="A417" s="327"/>
      <c r="B417" s="327"/>
      <c r="C417" s="327"/>
      <c r="D417" s="326"/>
      <c r="E417" s="326"/>
      <c r="F417" s="326"/>
      <c r="G417" s="328"/>
    </row>
    <row r="418" spans="1:7" ht="14" x14ac:dyDescent="0.15">
      <c r="A418" s="327"/>
      <c r="B418" s="327"/>
      <c r="C418" s="327"/>
      <c r="D418" s="326"/>
      <c r="E418" s="326"/>
      <c r="F418" s="326"/>
      <c r="G418" s="326"/>
    </row>
    <row r="419" spans="1:7" ht="14" x14ac:dyDescent="0.15">
      <c r="A419" s="327"/>
      <c r="B419" s="327"/>
      <c r="C419" s="327"/>
      <c r="D419" s="326"/>
      <c r="E419" s="326"/>
      <c r="F419" s="326"/>
      <c r="G419" s="326"/>
    </row>
    <row r="420" spans="1:7" ht="14" x14ac:dyDescent="0.15">
      <c r="A420" s="327"/>
      <c r="B420" s="327"/>
      <c r="C420" s="327"/>
      <c r="D420" s="327"/>
      <c r="E420" s="327"/>
      <c r="F420" s="327"/>
      <c r="G420" s="327"/>
    </row>
    <row r="421" spans="1:7" ht="14" x14ac:dyDescent="0.15">
      <c r="A421" s="326"/>
      <c r="B421" s="326"/>
      <c r="C421" s="326"/>
      <c r="D421" s="326"/>
      <c r="E421" s="326"/>
      <c r="F421" s="326"/>
      <c r="G421" s="326"/>
    </row>
    <row r="422" spans="1:7" ht="14" x14ac:dyDescent="0.15">
      <c r="A422" s="327"/>
      <c r="B422" s="327"/>
      <c r="C422" s="327"/>
      <c r="D422" s="328"/>
      <c r="E422" s="328"/>
      <c r="F422" s="328"/>
      <c r="G422" s="326"/>
    </row>
    <row r="423" spans="1:7" ht="14" x14ac:dyDescent="0.15">
      <c r="A423" s="327"/>
      <c r="B423" s="326"/>
      <c r="C423" s="335"/>
      <c r="D423" s="326"/>
      <c r="E423" s="326"/>
      <c r="F423" s="326"/>
      <c r="G423" s="328"/>
    </row>
    <row r="424" spans="1:7" ht="14" x14ac:dyDescent="0.15">
      <c r="A424" s="327"/>
      <c r="B424" s="327"/>
      <c r="C424" s="327"/>
      <c r="D424" s="327"/>
      <c r="E424" s="327"/>
      <c r="F424" s="327"/>
      <c r="G424" s="327"/>
    </row>
    <row r="425" spans="1:7" ht="14" x14ac:dyDescent="0.15">
      <c r="A425" s="327"/>
      <c r="B425" s="327"/>
      <c r="C425" s="327"/>
      <c r="D425" s="327"/>
      <c r="E425" s="327"/>
      <c r="F425" s="327"/>
      <c r="G425" s="327"/>
    </row>
    <row r="426" spans="1:7" ht="14" x14ac:dyDescent="0.15">
      <c r="A426" s="327"/>
      <c r="B426" s="327"/>
      <c r="C426" s="327"/>
      <c r="D426" s="327"/>
      <c r="E426" s="327"/>
      <c r="F426" s="327"/>
      <c r="G426" s="327"/>
    </row>
    <row r="427" spans="1:7" ht="14" x14ac:dyDescent="0.15">
      <c r="A427" s="327"/>
      <c r="B427" s="327"/>
      <c r="C427" s="327"/>
      <c r="D427" s="327"/>
      <c r="E427" s="327"/>
      <c r="F427" s="327"/>
      <c r="G427" s="327"/>
    </row>
    <row r="428" spans="1:7" ht="14" x14ac:dyDescent="0.15">
      <c r="A428" s="327"/>
      <c r="B428" s="327"/>
      <c r="C428" s="327"/>
      <c r="D428" s="327"/>
      <c r="E428" s="327"/>
      <c r="F428" s="327"/>
      <c r="G428" s="326"/>
    </row>
    <row r="429" spans="1:7" ht="14" x14ac:dyDescent="0.15">
      <c r="A429" s="327"/>
      <c r="B429" s="327"/>
      <c r="C429" s="327"/>
      <c r="D429" s="327"/>
      <c r="E429" s="327"/>
      <c r="F429" s="327"/>
      <c r="G429" s="326"/>
    </row>
    <row r="430" spans="1:7" ht="14" x14ac:dyDescent="0.15">
      <c r="A430" s="326"/>
      <c r="B430" s="326"/>
      <c r="C430" s="326"/>
      <c r="D430" s="326"/>
      <c r="E430" s="326"/>
      <c r="F430" s="326"/>
      <c r="G430" s="326"/>
    </row>
    <row r="431" spans="1:7" ht="14" x14ac:dyDescent="0.15">
      <c r="A431" s="327"/>
      <c r="B431" s="326"/>
      <c r="C431" s="326"/>
      <c r="D431" s="326"/>
      <c r="E431" s="326"/>
      <c r="F431" s="326"/>
      <c r="G431" s="326"/>
    </row>
    <row r="432" spans="1:7" ht="14" x14ac:dyDescent="0.15">
      <c r="A432" s="327"/>
      <c r="B432" s="327"/>
      <c r="C432" s="327"/>
      <c r="D432" s="327"/>
      <c r="E432" s="327"/>
      <c r="F432" s="327"/>
      <c r="G432" s="328"/>
    </row>
    <row r="433" spans="1:7" ht="14" x14ac:dyDescent="0.15">
      <c r="A433" s="330"/>
      <c r="B433" s="326"/>
      <c r="C433" s="326"/>
      <c r="D433" s="326"/>
      <c r="E433" s="326"/>
      <c r="F433" s="326"/>
      <c r="G433" s="343"/>
    </row>
    <row r="434" spans="1:7" ht="14" x14ac:dyDescent="0.15">
      <c r="A434" s="327"/>
      <c r="B434" s="326"/>
      <c r="C434" s="326"/>
      <c r="D434" s="326"/>
      <c r="E434" s="326"/>
      <c r="F434" s="326"/>
      <c r="G434" s="343"/>
    </row>
    <row r="435" spans="1:7" ht="14" x14ac:dyDescent="0.15">
      <c r="A435" s="327"/>
      <c r="B435" s="327"/>
      <c r="C435" s="327"/>
      <c r="D435" s="327"/>
      <c r="E435" s="327"/>
      <c r="F435" s="327"/>
      <c r="G435" s="349"/>
    </row>
    <row r="436" spans="1:7" ht="14" x14ac:dyDescent="0.15">
      <c r="A436" s="327"/>
      <c r="B436" s="326"/>
      <c r="C436" s="326"/>
      <c r="D436" s="326"/>
      <c r="E436" s="326"/>
      <c r="F436" s="326"/>
      <c r="G436" s="326"/>
    </row>
    <row r="437" spans="1:7" ht="14" x14ac:dyDescent="0.15">
      <c r="A437" s="327"/>
      <c r="B437" s="327"/>
      <c r="C437" s="327"/>
      <c r="D437" s="327"/>
      <c r="E437" s="327"/>
      <c r="F437" s="327"/>
      <c r="G437" s="328"/>
    </row>
    <row r="438" spans="1:7" ht="14" x14ac:dyDescent="0.15">
      <c r="A438" s="327"/>
      <c r="B438" s="327"/>
      <c r="C438" s="327"/>
      <c r="D438" s="327"/>
      <c r="E438" s="327"/>
      <c r="F438" s="327"/>
      <c r="G438" s="327"/>
    </row>
    <row r="439" spans="1:7" ht="14" x14ac:dyDescent="0.15">
      <c r="A439" s="327"/>
      <c r="B439" s="327"/>
      <c r="C439" s="327"/>
      <c r="D439" s="326"/>
      <c r="E439" s="326"/>
      <c r="F439" s="326"/>
      <c r="G439" s="327"/>
    </row>
    <row r="440" spans="1:7" ht="14" x14ac:dyDescent="0.15">
      <c r="A440" s="327"/>
      <c r="B440" s="327"/>
      <c r="C440" s="327"/>
      <c r="D440" s="327"/>
      <c r="E440" s="327"/>
      <c r="F440" s="327"/>
      <c r="G440" s="328"/>
    </row>
  </sheetData>
  <hyperlinks>
    <hyperlink ref="G127" r:id="rId1"/>
    <hyperlink ref="G61" r:id="rId2"/>
    <hyperlink ref="G15" r:id="rId3"/>
    <hyperlink ref="G71" r:id="rId4"/>
    <hyperlink ref="G75" r:id="rId5"/>
    <hyperlink ref="G77" r:id="rId6"/>
    <hyperlink ref="G76" r:id="rId7"/>
    <hyperlink ref="G81" r:id="rId8"/>
    <hyperlink ref="G59" r:id="rId9"/>
    <hyperlink ref="G16" r:id="rId10" display="arjun@edgenetworks.in"/>
    <hyperlink ref="G74" r:id="rId11"/>
    <hyperlink ref="G31" r:id="rId12" display="vijay.linus@netapp.com"/>
    <hyperlink ref="G135" r:id="rId13"/>
    <hyperlink ref="G20" r:id="rId14"/>
    <hyperlink ref="G21" r:id="rId15"/>
    <hyperlink ref="G130" r:id="rId16"/>
    <hyperlink ref="G73" r:id="rId17"/>
    <hyperlink ref="G137" r:id="rId18"/>
    <hyperlink ref="G134" r:id="rId19"/>
    <hyperlink ref="G93" r:id="rId20"/>
    <hyperlink ref="G64" r:id="rId21"/>
    <hyperlink ref="G114" r:id="rId22"/>
    <hyperlink ref="G117" r:id="rId23"/>
    <hyperlink ref="G7" r:id="rId24"/>
    <hyperlink ref="G8" r:id="rId25"/>
    <hyperlink ref="G118" r:id="rId26"/>
    <hyperlink ref="G66" r:id="rId27"/>
    <hyperlink ref="G65" r:id="rId28"/>
    <hyperlink ref="G140" r:id="rId29"/>
    <hyperlink ref="G145" r:id="rId30"/>
    <hyperlink ref="G52" r:id="rId31"/>
    <hyperlink ref="G5" r:id="rId32"/>
    <hyperlink ref="G90" r:id="rId33"/>
    <hyperlink ref="G9" r:id="rId34"/>
    <hyperlink ref="G10" r:id="rId35"/>
    <hyperlink ref="G91" r:id="rId36"/>
    <hyperlink ref="G92" r:id="rId37"/>
    <hyperlink ref="G121" r:id="rId38"/>
    <hyperlink ref="G120" r:id="rId39"/>
    <hyperlink ref="G36" r:id="rId40"/>
    <hyperlink ref="G112" r:id="rId41"/>
    <hyperlink ref="G88" r:id="rId42"/>
    <hyperlink ref="G148" r:id="rId43"/>
    <hyperlink ref="G99" r:id="rId44"/>
    <hyperlink ref="G14" r:id="rId45"/>
    <hyperlink ref="G60" r:id="rId46"/>
    <hyperlink ref="G122" r:id="rId47"/>
    <hyperlink ref="G123" r:id="rId48"/>
    <hyperlink ref="G29" r:id="rId49"/>
    <hyperlink ref="G28" r:id="rId50"/>
    <hyperlink ref="G30" r:id="rId51"/>
    <hyperlink ref="G32" r:id="rId52"/>
    <hyperlink ref="B35" r:id="rId53" display="https://www.linkedin.com/profile/view?id=21160840&amp;authType=name&amp;authToken=hPQf&amp;trk=prof-sb-browse_map-name"/>
    <hyperlink ref="D103" r:id="rId54" display="mailto:kvg386@motorolasolutions.com"/>
    <hyperlink ref="G56" r:id="rId55" display="mailto:suraj.pinto@target.com"/>
    <hyperlink ref="G51" r:id="rId56" display="mailto:nitin.dc@samsung.com"/>
    <hyperlink ref="G72" r:id="rId57" display="mailto:uday.narla@cyient.com"/>
    <hyperlink ref="G13" r:id="rId58" display="mailto:nirmala.bhat@altran.com"/>
    <hyperlink ref="G25" r:id="rId59" display="mailto:sriramg@juniper.net"/>
    <hyperlink ref="G124" r:id="rId60" display="mailto:naqeeb_syed@amat.com"/>
    <hyperlink ref="G116" r:id="rId61" display="mailto:hitler.carvalho@alcatel-lucent.com"/>
    <hyperlink ref="G35" r:id="rId62" display="mailto:dennis.vincent@pace.com"/>
    <hyperlink ref="G128" r:id="rId63" display="mailto:swapna@in.bally.com"/>
    <hyperlink ref="G44" r:id="rId64" display="mailto:balaji.kamaraj@happiestminds.com"/>
    <hyperlink ref="G103" r:id="rId65" display="mailto:kvg386@motorolasolutions.com"/>
    <hyperlink ref="G79" r:id="rId66"/>
    <hyperlink ref="G89" r:id="rId67" display="mailto:jnanesh.kumar@salesforce.com"/>
    <hyperlink ref="G34" r:id="rId68" display="mailto:Logesh@nutanix.com"/>
    <hyperlink ref="G111" r:id="rId69" display="mailto:iftekhar.baig@mediatek.com"/>
    <hyperlink ref="G152" r:id="rId70" display="mailto:Logesh@nutanix.com"/>
    <hyperlink ref="G46" r:id="rId71"/>
    <hyperlink ref="G43" r:id="rId72"/>
    <hyperlink ref="G47" r:id="rId73"/>
    <hyperlink ref="G57" r:id="rId74"/>
    <hyperlink ref="G100" r:id="rId75"/>
    <hyperlink ref="G104" r:id="rId76"/>
    <hyperlink ref="E18" r:id="rId77"/>
    <hyperlink ref="E45" r:id="rId78"/>
    <hyperlink ref="E71" r:id="rId79"/>
    <hyperlink ref="E72" r:id="rId80"/>
    <hyperlink ref="H74" r:id="rId81"/>
    <hyperlink ref="H83" r:id="rId82"/>
    <hyperlink ref="G94" r:id="rId83"/>
    <hyperlink ref="F124" r:id="rId84"/>
    <hyperlink ref="H153" r:id="rId85"/>
  </hyperlinks>
  <pageMargins left="0.7" right="0.7" top="0.75" bottom="0.75" header="0.3" footer="0.3"/>
  <pageSetup orientation="portrait" r:id="rId8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5"/>
  <sheetViews>
    <sheetView workbookViewId="0">
      <selection activeCell="S9" sqref="S9"/>
    </sheetView>
  </sheetViews>
  <sheetFormatPr baseColWidth="10" defaultColWidth="8.83203125" defaultRowHeight="15" x14ac:dyDescent="0.2"/>
  <cols>
    <col min="2" max="2" width="55.83203125" bestFit="1" customWidth="1"/>
    <col min="4" max="4" width="39" bestFit="1" customWidth="1"/>
    <col min="5" max="5" width="26.1640625" customWidth="1"/>
    <col min="6" max="6" width="48.5" bestFit="1" customWidth="1"/>
    <col min="7" max="7" width="71.83203125" bestFit="1" customWidth="1"/>
    <col min="8" max="8" width="20.1640625" bestFit="1" customWidth="1"/>
    <col min="9" max="9" width="18.1640625" bestFit="1" customWidth="1"/>
    <col min="10" max="10" width="18" bestFit="1" customWidth="1"/>
    <col min="11" max="11" width="42.5" bestFit="1" customWidth="1"/>
    <col min="12" max="12" width="10.5" bestFit="1" customWidth="1"/>
    <col min="13" max="13" width="11" bestFit="1" customWidth="1"/>
    <col min="16" max="16" width="11" bestFit="1" customWidth="1"/>
  </cols>
  <sheetData>
    <row r="1" spans="1:27" x14ac:dyDescent="0.2">
      <c r="A1" s="266" t="s">
        <v>99</v>
      </c>
      <c r="B1" s="56" t="s">
        <v>0</v>
      </c>
      <c r="C1" s="237"/>
      <c r="D1" s="57" t="s">
        <v>100</v>
      </c>
      <c r="E1" s="57" t="s">
        <v>2</v>
      </c>
      <c r="F1" s="57" t="s">
        <v>3</v>
      </c>
      <c r="G1" s="57" t="s">
        <v>4</v>
      </c>
      <c r="H1" s="57" t="s">
        <v>100</v>
      </c>
      <c r="I1" s="57" t="s">
        <v>2</v>
      </c>
      <c r="J1" s="57" t="s">
        <v>3</v>
      </c>
      <c r="K1" s="57" t="s">
        <v>4</v>
      </c>
      <c r="L1" s="57" t="s">
        <v>100</v>
      </c>
      <c r="M1" s="57" t="s">
        <v>3</v>
      </c>
      <c r="N1" s="57" t="s">
        <v>4</v>
      </c>
      <c r="O1" s="57" t="s">
        <v>100</v>
      </c>
      <c r="P1" s="57" t="s">
        <v>3</v>
      </c>
      <c r="Q1" s="57" t="s">
        <v>4</v>
      </c>
      <c r="R1" s="57" t="s">
        <v>100</v>
      </c>
      <c r="S1" s="57" t="s">
        <v>3</v>
      </c>
      <c r="T1" s="57" t="s">
        <v>4</v>
      </c>
      <c r="U1" s="57" t="s">
        <v>100</v>
      </c>
      <c r="V1" s="57" t="s">
        <v>3</v>
      </c>
      <c r="W1" s="57" t="s">
        <v>4</v>
      </c>
      <c r="X1" s="57"/>
      <c r="Y1" s="267"/>
      <c r="Z1" s="267"/>
      <c r="AA1" s="267"/>
    </row>
    <row r="2" spans="1:27" x14ac:dyDescent="0.2">
      <c r="A2" s="270">
        <v>1</v>
      </c>
      <c r="B2" s="62" t="s">
        <v>8</v>
      </c>
      <c r="C2" s="239"/>
      <c r="D2" s="79" t="s">
        <v>9</v>
      </c>
      <c r="E2" s="79" t="s">
        <v>10</v>
      </c>
      <c r="F2" s="79">
        <v>9739702727</v>
      </c>
      <c r="G2" s="271" t="s">
        <v>158</v>
      </c>
      <c r="H2" s="66" t="s">
        <v>159</v>
      </c>
      <c r="I2" s="66" t="s">
        <v>160</v>
      </c>
      <c r="J2" s="66"/>
      <c r="K2" s="66"/>
      <c r="L2" s="82"/>
      <c r="M2" s="82"/>
      <c r="N2" s="82"/>
      <c r="O2" s="87"/>
      <c r="P2" s="87"/>
      <c r="Q2" s="87"/>
      <c r="R2" s="73"/>
      <c r="S2" s="73"/>
      <c r="T2" s="73"/>
      <c r="U2" s="273"/>
      <c r="V2" s="273"/>
      <c r="W2" s="273"/>
      <c r="X2" s="273"/>
      <c r="Y2" s="282"/>
      <c r="Z2" s="282"/>
      <c r="AA2" s="282"/>
    </row>
    <row r="3" spans="1:27" x14ac:dyDescent="0.2">
      <c r="A3" s="270">
        <v>2</v>
      </c>
      <c r="B3" s="62" t="s">
        <v>162</v>
      </c>
      <c r="C3" s="239"/>
      <c r="D3" s="276" t="s">
        <v>164</v>
      </c>
      <c r="E3" s="276" t="s">
        <v>85</v>
      </c>
      <c r="F3" s="276">
        <v>9945273155</v>
      </c>
      <c r="G3" s="271" t="s">
        <v>165</v>
      </c>
      <c r="H3" s="277" t="s">
        <v>166</v>
      </c>
      <c r="I3" s="277" t="s">
        <v>85</v>
      </c>
      <c r="J3" s="277"/>
      <c r="K3" s="277"/>
      <c r="L3" s="278"/>
      <c r="M3" s="278"/>
      <c r="N3" s="278"/>
      <c r="O3" s="279"/>
      <c r="P3" s="279"/>
      <c r="Q3" s="279"/>
      <c r="R3" s="280"/>
      <c r="S3" s="280"/>
      <c r="T3" s="280"/>
      <c r="U3" s="281"/>
      <c r="V3" s="281"/>
      <c r="W3" s="281"/>
      <c r="X3" s="281"/>
      <c r="Y3" s="275"/>
      <c r="Z3" s="275"/>
      <c r="AA3" s="275"/>
    </row>
    <row r="4" spans="1:27" x14ac:dyDescent="0.2">
      <c r="A4" s="270">
        <v>3</v>
      </c>
      <c r="B4" s="62" t="s">
        <v>177</v>
      </c>
      <c r="C4" s="239"/>
      <c r="D4" s="79" t="s">
        <v>179</v>
      </c>
      <c r="E4" s="79" t="s">
        <v>10</v>
      </c>
      <c r="F4" s="79">
        <v>9645011129</v>
      </c>
      <c r="G4" s="285" t="s">
        <v>180</v>
      </c>
      <c r="H4" s="66" t="s">
        <v>181</v>
      </c>
      <c r="I4" s="66" t="s">
        <v>10</v>
      </c>
      <c r="J4" s="66">
        <v>9946430015</v>
      </c>
      <c r="K4" s="272" t="s">
        <v>182</v>
      </c>
      <c r="L4" s="82"/>
      <c r="M4" s="82"/>
      <c r="N4" s="82"/>
      <c r="O4" s="87"/>
      <c r="P4" s="87"/>
      <c r="Q4" s="87"/>
      <c r="R4" s="73"/>
      <c r="S4" s="73"/>
      <c r="T4" s="73"/>
      <c r="U4" s="273"/>
      <c r="V4" s="273"/>
      <c r="W4" s="273"/>
      <c r="X4" s="273"/>
      <c r="Y4" s="275"/>
      <c r="Z4" s="275"/>
      <c r="AA4" s="275"/>
    </row>
    <row r="5" spans="1:27" ht="28" x14ac:dyDescent="0.2">
      <c r="A5" s="270">
        <v>4</v>
      </c>
      <c r="B5" s="62" t="s">
        <v>233</v>
      </c>
      <c r="C5" s="239"/>
      <c r="D5" s="286" t="s">
        <v>234</v>
      </c>
      <c r="E5" s="79" t="s">
        <v>235</v>
      </c>
      <c r="F5" s="79"/>
      <c r="G5" s="271" t="s">
        <v>236</v>
      </c>
      <c r="H5" s="287" t="s">
        <v>237</v>
      </c>
      <c r="I5" s="66" t="s">
        <v>41</v>
      </c>
      <c r="J5" s="66">
        <v>9949579540</v>
      </c>
      <c r="K5" s="288" t="s">
        <v>238</v>
      </c>
      <c r="L5" s="289" t="s">
        <v>239</v>
      </c>
      <c r="M5" s="82" t="s">
        <v>241</v>
      </c>
      <c r="N5" s="290" t="s">
        <v>242</v>
      </c>
      <c r="O5" s="291" t="s">
        <v>239</v>
      </c>
      <c r="P5" s="87"/>
      <c r="Q5" s="144" t="s">
        <v>242</v>
      </c>
      <c r="R5" s="73" t="s">
        <v>243</v>
      </c>
      <c r="S5" s="73"/>
      <c r="T5" s="292" t="s">
        <v>244</v>
      </c>
      <c r="U5" s="273"/>
      <c r="V5" s="273"/>
      <c r="W5" s="273"/>
      <c r="X5" s="273"/>
      <c r="Y5" s="282"/>
      <c r="Z5" s="282"/>
      <c r="AA5" s="282"/>
    </row>
    <row r="6" spans="1:27" x14ac:dyDescent="0.2">
      <c r="A6" s="270">
        <v>5</v>
      </c>
      <c r="B6" s="62" t="s">
        <v>301</v>
      </c>
      <c r="C6" s="239"/>
      <c r="D6" s="276" t="s">
        <v>302</v>
      </c>
      <c r="E6" s="276" t="s">
        <v>136</v>
      </c>
      <c r="F6" s="276" t="s">
        <v>303</v>
      </c>
      <c r="G6" s="276"/>
      <c r="H6" s="277"/>
      <c r="I6" s="277"/>
      <c r="J6" s="277"/>
      <c r="K6" s="277"/>
      <c r="L6" s="278"/>
      <c r="M6" s="278"/>
      <c r="N6" s="278"/>
      <c r="O6" s="279"/>
      <c r="P6" s="279"/>
      <c r="Q6" s="279"/>
      <c r="R6" s="280"/>
      <c r="S6" s="280"/>
      <c r="T6" s="280"/>
      <c r="U6" s="281"/>
      <c r="V6" s="281"/>
      <c r="W6" s="281"/>
      <c r="X6" s="281"/>
      <c r="Y6" s="275"/>
      <c r="Z6" s="275"/>
      <c r="AA6" s="275"/>
    </row>
    <row r="7" spans="1:27" x14ac:dyDescent="0.2">
      <c r="A7" s="270">
        <v>6</v>
      </c>
      <c r="B7" s="62" t="s">
        <v>329</v>
      </c>
      <c r="C7" s="239"/>
      <c r="D7" s="276" t="s">
        <v>330</v>
      </c>
      <c r="E7" s="276"/>
      <c r="F7" s="276" t="s">
        <v>331</v>
      </c>
      <c r="G7" s="271" t="s">
        <v>332</v>
      </c>
      <c r="H7" s="277"/>
      <c r="I7" s="277"/>
      <c r="J7" s="277"/>
      <c r="K7" s="277"/>
      <c r="L7" s="278"/>
      <c r="M7" s="278"/>
      <c r="N7" s="278"/>
      <c r="O7" s="279"/>
      <c r="P7" s="279"/>
      <c r="Q7" s="279"/>
      <c r="R7" s="280"/>
      <c r="S7" s="280"/>
      <c r="T7" s="280"/>
      <c r="U7" s="281"/>
      <c r="V7" s="281"/>
      <c r="W7" s="281"/>
      <c r="X7" s="281"/>
      <c r="Y7" s="275"/>
      <c r="Z7" s="275"/>
      <c r="AA7" s="275"/>
    </row>
    <row r="8" spans="1:27" x14ac:dyDescent="0.2">
      <c r="A8" s="270">
        <v>7</v>
      </c>
      <c r="B8" s="62" t="s">
        <v>54</v>
      </c>
      <c r="C8" s="239"/>
      <c r="D8" s="275" t="s">
        <v>55</v>
      </c>
      <c r="E8" s="275" t="s">
        <v>13</v>
      </c>
      <c r="F8" s="275">
        <v>33575328</v>
      </c>
      <c r="G8" s="294" t="s">
        <v>376</v>
      </c>
      <c r="H8" s="275" t="s">
        <v>377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</row>
    <row r="9" spans="1:27" x14ac:dyDescent="0.2">
      <c r="A9" s="270">
        <v>8</v>
      </c>
      <c r="B9" s="62" t="s">
        <v>412</v>
      </c>
      <c r="C9" s="239"/>
      <c r="D9" s="276" t="s">
        <v>413</v>
      </c>
      <c r="E9" s="276" t="s">
        <v>85</v>
      </c>
      <c r="F9" s="276">
        <v>9886895897</v>
      </c>
      <c r="G9" s="271" t="s">
        <v>414</v>
      </c>
      <c r="H9" s="277" t="s">
        <v>415</v>
      </c>
      <c r="I9" s="277" t="s">
        <v>416</v>
      </c>
      <c r="J9" s="277">
        <v>9945048004</v>
      </c>
      <c r="K9" s="272" t="s">
        <v>417</v>
      </c>
      <c r="L9" s="278"/>
      <c r="M9" s="278"/>
      <c r="N9" s="278"/>
      <c r="O9" s="279"/>
      <c r="P9" s="279"/>
      <c r="Q9" s="279"/>
      <c r="R9" s="280"/>
      <c r="S9" s="280"/>
      <c r="T9" s="280"/>
      <c r="U9" s="281"/>
      <c r="V9" s="281"/>
      <c r="W9" s="281"/>
      <c r="X9" s="281"/>
      <c r="Y9" s="275"/>
      <c r="Z9" s="275"/>
      <c r="AA9" s="275"/>
    </row>
    <row r="10" spans="1:27" x14ac:dyDescent="0.2">
      <c r="A10" s="270">
        <v>9</v>
      </c>
      <c r="B10" s="62" t="s">
        <v>431</v>
      </c>
      <c r="C10" s="239"/>
      <c r="D10" s="101" t="s">
        <v>432</v>
      </c>
      <c r="E10" s="101" t="s">
        <v>136</v>
      </c>
      <c r="F10" s="101">
        <v>8042212000</v>
      </c>
      <c r="G10" s="153"/>
      <c r="H10" s="102" t="s">
        <v>433</v>
      </c>
      <c r="I10" s="102" t="s">
        <v>405</v>
      </c>
      <c r="J10" s="102">
        <v>9986724241</v>
      </c>
      <c r="K10" s="103" t="s">
        <v>434</v>
      </c>
      <c r="L10" s="104" t="s">
        <v>435</v>
      </c>
      <c r="M10" s="104">
        <v>9972001131</v>
      </c>
      <c r="N10" s="283" t="s">
        <v>436</v>
      </c>
      <c r="O10" s="105"/>
      <c r="P10" s="105" t="s">
        <v>1387</v>
      </c>
      <c r="Q10" s="154"/>
      <c r="R10" s="106"/>
      <c r="S10" s="106"/>
      <c r="T10" s="106"/>
      <c r="U10" s="107"/>
      <c r="V10" s="107"/>
      <c r="W10" s="107"/>
      <c r="X10" s="107"/>
      <c r="Y10" s="275"/>
      <c r="Z10" s="275"/>
      <c r="AA10" s="275"/>
    </row>
    <row r="11" spans="1:27" x14ac:dyDescent="0.2">
      <c r="A11" s="270">
        <v>10</v>
      </c>
      <c r="B11" s="62" t="s">
        <v>60</v>
      </c>
      <c r="C11" s="239"/>
      <c r="D11" s="276" t="s">
        <v>771</v>
      </c>
      <c r="E11" s="276" t="s">
        <v>445</v>
      </c>
      <c r="F11" s="276">
        <v>9741577007</v>
      </c>
      <c r="G11" s="271" t="s">
        <v>446</v>
      </c>
      <c r="H11" s="277" t="s">
        <v>447</v>
      </c>
      <c r="I11" s="277" t="s">
        <v>448</v>
      </c>
      <c r="J11" s="277">
        <v>9538369222</v>
      </c>
      <c r="K11" s="272" t="s">
        <v>449</v>
      </c>
      <c r="L11" s="278"/>
      <c r="M11" s="278"/>
      <c r="N11" s="278"/>
      <c r="O11" s="279"/>
      <c r="P11" s="279"/>
      <c r="Q11" s="279"/>
      <c r="R11" s="280"/>
      <c r="S11" s="280"/>
      <c r="T11" s="280"/>
      <c r="U11" s="281"/>
      <c r="V11" s="281"/>
      <c r="W11" s="281"/>
      <c r="X11" s="281"/>
      <c r="Y11" s="275"/>
      <c r="Z11" s="275"/>
      <c r="AA11" s="275"/>
    </row>
    <row r="12" spans="1:27" x14ac:dyDescent="0.2">
      <c r="A12" s="270">
        <v>11</v>
      </c>
      <c r="B12" s="62" t="s">
        <v>465</v>
      </c>
      <c r="C12" s="239"/>
      <c r="D12" s="276" t="s">
        <v>466</v>
      </c>
      <c r="E12" s="276" t="s">
        <v>31</v>
      </c>
      <c r="F12" s="276">
        <v>30038301</v>
      </c>
      <c r="G12" s="271" t="s">
        <v>467</v>
      </c>
      <c r="H12" s="277" t="s">
        <v>468</v>
      </c>
      <c r="I12" s="277" t="s">
        <v>469</v>
      </c>
      <c r="J12" s="277">
        <v>8722400040</v>
      </c>
      <c r="K12" s="272" t="s">
        <v>470</v>
      </c>
      <c r="L12" s="278"/>
      <c r="M12" s="278"/>
      <c r="N12" s="278"/>
      <c r="O12" s="279"/>
      <c r="P12" s="279"/>
      <c r="Q12" s="279"/>
      <c r="R12" s="280"/>
      <c r="S12" s="280"/>
      <c r="T12" s="280"/>
      <c r="U12" s="281"/>
      <c r="V12" s="281"/>
      <c r="W12" s="281"/>
      <c r="X12" s="281"/>
      <c r="Y12" s="275"/>
      <c r="Z12" s="275"/>
      <c r="AA12" s="275"/>
    </row>
    <row r="13" spans="1:27" ht="15" customHeight="1" x14ac:dyDescent="0.2">
      <c r="A13" s="270">
        <v>12</v>
      </c>
      <c r="B13" s="320" t="s">
        <v>485</v>
      </c>
      <c r="C13" s="321"/>
      <c r="D13" s="158" t="s">
        <v>486</v>
      </c>
      <c r="E13" s="158" t="s">
        <v>487</v>
      </c>
      <c r="F13" s="158" t="s">
        <v>488</v>
      </c>
      <c r="G13" s="159" t="s">
        <v>489</v>
      </c>
      <c r="H13" s="160" t="s">
        <v>490</v>
      </c>
      <c r="I13" s="160" t="s">
        <v>41</v>
      </c>
      <c r="J13" s="160"/>
      <c r="K13" s="161" t="s">
        <v>491</v>
      </c>
      <c r="L13" s="162" t="s">
        <v>492</v>
      </c>
      <c r="M13" s="162">
        <v>9845133978</v>
      </c>
      <c r="N13" s="163" t="s">
        <v>494</v>
      </c>
      <c r="O13" s="164" t="s">
        <v>495</v>
      </c>
      <c r="P13" s="164">
        <v>9900260087</v>
      </c>
      <c r="Q13" s="165" t="s">
        <v>496</v>
      </c>
      <c r="R13" s="166" t="s">
        <v>497</v>
      </c>
      <c r="S13" s="106">
        <v>9035091115</v>
      </c>
      <c r="T13" s="106" t="s">
        <v>499</v>
      </c>
      <c r="U13" s="107"/>
      <c r="V13" s="107"/>
      <c r="W13" s="107"/>
      <c r="X13" s="107"/>
      <c r="Y13" s="78"/>
      <c r="Z13" s="78"/>
      <c r="AA13" s="78"/>
    </row>
    <row r="14" spans="1:27" x14ac:dyDescent="0.2">
      <c r="A14" s="270"/>
      <c r="B14" s="62"/>
      <c r="C14" s="239"/>
      <c r="D14" s="79"/>
      <c r="E14" s="79"/>
      <c r="F14" s="79"/>
      <c r="G14" s="271"/>
      <c r="H14" s="66"/>
      <c r="I14" s="66"/>
      <c r="J14" s="66"/>
      <c r="K14" s="66"/>
      <c r="L14" s="82"/>
      <c r="M14" s="82"/>
      <c r="N14" s="82"/>
      <c r="O14" s="87"/>
      <c r="P14" s="87"/>
      <c r="Q14" s="87"/>
      <c r="R14" s="73"/>
      <c r="S14" s="73"/>
      <c r="T14" s="73"/>
      <c r="U14" s="273"/>
      <c r="V14" s="273"/>
      <c r="W14" s="273"/>
      <c r="X14" s="273"/>
      <c r="Y14" s="275"/>
      <c r="Z14" s="275"/>
      <c r="AA14" s="275"/>
    </row>
    <row r="15" spans="1:27" x14ac:dyDescent="0.2">
      <c r="A15" s="270"/>
      <c r="B15" s="62"/>
      <c r="C15" s="239"/>
      <c r="D15" s="79"/>
      <c r="E15" s="79"/>
      <c r="F15" s="79"/>
      <c r="G15" s="271"/>
      <c r="H15" s="66"/>
      <c r="I15" s="66"/>
      <c r="J15" s="81" t="s">
        <v>1389</v>
      </c>
      <c r="K15" s="81" t="s">
        <v>1388</v>
      </c>
      <c r="L15" s="82"/>
      <c r="M15" s="82"/>
      <c r="N15" s="82"/>
      <c r="O15" s="87"/>
      <c r="P15" s="87"/>
      <c r="Q15" s="87"/>
      <c r="R15" s="73"/>
      <c r="S15" s="73"/>
      <c r="T15" s="73"/>
      <c r="U15" s="273"/>
      <c r="V15" s="273"/>
      <c r="W15" s="273"/>
      <c r="X15" s="273"/>
      <c r="Y15" s="282"/>
      <c r="Z15" s="282"/>
      <c r="AA15" s="282"/>
    </row>
    <row r="16" spans="1:27" x14ac:dyDescent="0.2">
      <c r="A16" s="270"/>
      <c r="B16" s="62"/>
      <c r="C16" s="239"/>
      <c r="D16" s="79"/>
      <c r="E16" s="79"/>
      <c r="F16" s="79"/>
      <c r="G16" s="271"/>
      <c r="H16" s="277"/>
      <c r="I16" s="277"/>
      <c r="J16" s="277"/>
      <c r="K16" s="272"/>
      <c r="L16" s="295"/>
      <c r="M16" s="278"/>
      <c r="N16" s="278"/>
      <c r="O16" s="279" t="s">
        <v>1408</v>
      </c>
      <c r="P16" s="279"/>
      <c r="Q16" s="279"/>
      <c r="R16" s="280"/>
      <c r="S16" s="280"/>
      <c r="T16" s="280"/>
      <c r="U16" s="281"/>
      <c r="V16" s="281"/>
      <c r="W16" s="281"/>
      <c r="X16" s="281"/>
      <c r="Y16" s="275"/>
      <c r="Z16" s="275"/>
      <c r="AA16" s="275"/>
    </row>
    <row r="17" spans="1:27" x14ac:dyDescent="0.2">
      <c r="A17" s="270"/>
      <c r="B17" s="62"/>
      <c r="C17" s="239"/>
      <c r="D17" s="79"/>
      <c r="E17" s="79"/>
      <c r="F17" s="79"/>
      <c r="G17" s="285"/>
      <c r="H17" s="66"/>
      <c r="I17" s="66"/>
      <c r="J17" s="66"/>
      <c r="K17" s="288"/>
      <c r="L17" s="82"/>
      <c r="M17" s="82"/>
      <c r="N17" s="283"/>
      <c r="O17" s="87"/>
      <c r="P17" s="87"/>
      <c r="Q17" s="87"/>
      <c r="R17" s="73"/>
      <c r="S17" s="73"/>
      <c r="T17" s="73"/>
      <c r="U17" s="273"/>
      <c r="V17" s="273"/>
      <c r="W17" s="273"/>
      <c r="X17" s="281"/>
      <c r="Y17" s="275"/>
      <c r="Z17" s="275"/>
      <c r="AA17" s="275"/>
    </row>
    <row r="18" spans="1:27" x14ac:dyDescent="0.2">
      <c r="A18" s="270"/>
      <c r="B18" s="62"/>
      <c r="C18" s="239"/>
      <c r="D18" s="79"/>
      <c r="E18" s="79"/>
      <c r="F18" s="79"/>
      <c r="G18" s="271"/>
      <c r="H18" s="66"/>
      <c r="I18" s="66"/>
      <c r="J18" s="66"/>
      <c r="K18" s="269"/>
      <c r="L18" s="82"/>
      <c r="M18" s="82"/>
      <c r="N18" s="81"/>
      <c r="O18" s="87"/>
      <c r="P18" s="87"/>
      <c r="Q18" s="87"/>
      <c r="R18" s="73"/>
      <c r="S18" s="73"/>
      <c r="T18" s="73"/>
      <c r="U18" s="273"/>
      <c r="V18" s="273"/>
      <c r="W18" s="273"/>
      <c r="X18" s="281"/>
      <c r="Y18" s="275"/>
      <c r="Z18" s="275"/>
      <c r="AA18" s="275"/>
    </row>
    <row r="19" spans="1:27" x14ac:dyDescent="0.2">
      <c r="A19" s="270"/>
      <c r="B19" s="62"/>
      <c r="C19" s="239"/>
      <c r="D19" s="276"/>
      <c r="E19" s="276"/>
      <c r="F19" s="276"/>
      <c r="G19" s="271"/>
      <c r="H19" s="277"/>
      <c r="I19" s="277"/>
      <c r="J19" s="277"/>
      <c r="K19" s="272"/>
      <c r="L19" s="278"/>
      <c r="M19" s="278"/>
      <c r="N19" s="278"/>
      <c r="O19" s="279"/>
      <c r="P19" s="279"/>
      <c r="Q19" s="279"/>
      <c r="R19" s="280"/>
      <c r="S19" s="280"/>
      <c r="T19" s="280"/>
      <c r="U19" s="281"/>
      <c r="V19" s="281"/>
      <c r="W19" s="281"/>
      <c r="X19" s="281"/>
      <c r="Y19" s="275"/>
      <c r="Z19" s="275"/>
      <c r="AA19" s="275"/>
    </row>
    <row r="20" spans="1:27" x14ac:dyDescent="0.2">
      <c r="A20" s="270"/>
      <c r="B20" s="62"/>
      <c r="C20" s="239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68"/>
      <c r="Z20" s="268"/>
      <c r="AA20" s="268"/>
    </row>
    <row r="21" spans="1:27" x14ac:dyDescent="0.2">
      <c r="A21" s="270"/>
      <c r="B21" s="62"/>
      <c r="C21" s="239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68"/>
      <c r="Z21" s="268"/>
      <c r="AA21" s="268"/>
    </row>
    <row r="22" spans="1:27" x14ac:dyDescent="0.2">
      <c r="A22" s="270"/>
      <c r="B22" s="232"/>
      <c r="C22" s="239"/>
      <c r="D22" s="202"/>
      <c r="E22" s="202"/>
      <c r="F22" s="298"/>
      <c r="G22" s="299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75"/>
      <c r="Y22" s="268"/>
      <c r="Z22" s="268"/>
      <c r="AA22" s="268"/>
    </row>
    <row r="23" spans="1:27" x14ac:dyDescent="0.2">
      <c r="A23" s="270"/>
      <c r="B23" s="232"/>
      <c r="C23" s="239"/>
      <c r="D23" s="202"/>
      <c r="E23" s="202"/>
      <c r="F23" s="202"/>
      <c r="G23" s="300"/>
      <c r="H23" s="204"/>
      <c r="I23" s="204"/>
      <c r="J23" s="204"/>
      <c r="K23" s="223"/>
      <c r="L23" s="301"/>
      <c r="M23" s="301"/>
      <c r="N23" s="302"/>
      <c r="O23" s="303"/>
      <c r="P23" s="303"/>
      <c r="Q23" s="304"/>
      <c r="R23" s="305"/>
      <c r="S23" s="305"/>
      <c r="T23" s="305"/>
      <c r="U23" s="306"/>
      <c r="V23" s="306"/>
      <c r="W23" s="306"/>
      <c r="X23" s="307"/>
      <c r="Y23" s="268"/>
      <c r="Z23" s="268"/>
      <c r="AA23" s="268"/>
    </row>
    <row r="24" spans="1:27" x14ac:dyDescent="0.2">
      <c r="A24" s="270"/>
      <c r="B24" s="84"/>
      <c r="C24" s="241"/>
      <c r="D24" s="177"/>
      <c r="E24" s="177"/>
      <c r="F24" s="79"/>
      <c r="G24" s="276"/>
      <c r="H24" s="178"/>
      <c r="I24" s="308"/>
      <c r="J24" s="178"/>
      <c r="K24" s="309"/>
      <c r="L24" s="82"/>
      <c r="M24" s="180"/>
      <c r="N24" s="180"/>
      <c r="O24" s="182"/>
      <c r="P24" s="182"/>
      <c r="Q24" s="182"/>
      <c r="R24" s="310"/>
      <c r="S24" s="310"/>
      <c r="T24" s="310"/>
      <c r="U24" s="307"/>
      <c r="V24" s="307"/>
      <c r="W24" s="307"/>
      <c r="X24" s="311"/>
      <c r="Y24" s="268"/>
      <c r="Z24" s="268"/>
      <c r="AA24" s="268"/>
    </row>
    <row r="25" spans="1:27" x14ac:dyDescent="0.2">
      <c r="A25" s="270"/>
      <c r="B25" s="232"/>
      <c r="C25" s="239"/>
      <c r="D25" s="202"/>
      <c r="E25" s="202"/>
      <c r="F25" s="202"/>
      <c r="G25" s="312"/>
      <c r="H25" s="204"/>
      <c r="I25" s="204"/>
      <c r="J25" s="204"/>
      <c r="K25" s="223"/>
      <c r="L25" s="313"/>
      <c r="M25" s="313"/>
      <c r="N25" s="313"/>
      <c r="O25" s="303"/>
      <c r="P25" s="224"/>
      <c r="Q25" s="304"/>
      <c r="R25" s="305"/>
      <c r="S25" s="305"/>
      <c r="T25" s="305"/>
      <c r="U25" s="306"/>
      <c r="V25" s="306"/>
      <c r="W25" s="306"/>
      <c r="X25" s="311"/>
      <c r="Y25" s="268"/>
      <c r="Z25" s="268"/>
      <c r="AA25" s="268"/>
    </row>
    <row r="26" spans="1:27" x14ac:dyDescent="0.2">
      <c r="A26" s="270"/>
      <c r="B26" s="315"/>
      <c r="C26" s="315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  <c r="AA26" s="269"/>
    </row>
    <row r="27" spans="1:27" x14ac:dyDescent="0.2">
      <c r="A27" s="270"/>
      <c r="B27" s="315"/>
      <c r="C27" s="315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  <c r="AA27" s="269"/>
    </row>
    <row r="28" spans="1:27" x14ac:dyDescent="0.2">
      <c r="A28" s="270"/>
      <c r="B28" s="314"/>
      <c r="C28" s="315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  <c r="AA28" s="269"/>
    </row>
    <row r="29" spans="1:27" x14ac:dyDescent="0.2">
      <c r="A29" s="270"/>
      <c r="B29" s="315"/>
      <c r="C29" s="315"/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  <c r="AA29" s="269"/>
    </row>
    <row r="30" spans="1:27" x14ac:dyDescent="0.2">
      <c r="A30" s="270"/>
      <c r="B30" s="315"/>
      <c r="C30" s="315"/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  <c r="AA30" s="269"/>
    </row>
    <row r="31" spans="1:27" x14ac:dyDescent="0.2">
      <c r="A31" s="270"/>
      <c r="B31" s="314"/>
      <c r="C31" s="314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</row>
    <row r="32" spans="1:27" x14ac:dyDescent="0.2">
      <c r="A32" s="270"/>
      <c r="B32" s="315"/>
      <c r="C32" s="315"/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  <c r="AA32" s="269"/>
    </row>
    <row r="33" spans="1:27" x14ac:dyDescent="0.2">
      <c r="A33" s="270"/>
      <c r="B33" s="315"/>
      <c r="C33" s="315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</row>
    <row r="34" spans="1:27" x14ac:dyDescent="0.2">
      <c r="A34" s="270"/>
      <c r="B34" s="315"/>
      <c r="C34" s="315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</row>
    <row r="35" spans="1:27" x14ac:dyDescent="0.2">
      <c r="A35" s="270"/>
      <c r="B35" s="315"/>
      <c r="C35" s="315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</row>
    <row r="36" spans="1:27" x14ac:dyDescent="0.2">
      <c r="A36" s="270"/>
      <c r="B36" s="315"/>
      <c r="C36" s="315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  <c r="AA36" s="269"/>
    </row>
    <row r="37" spans="1:27" x14ac:dyDescent="0.2">
      <c r="A37" s="270"/>
      <c r="B37" s="315"/>
      <c r="C37" s="315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</row>
    <row r="38" spans="1:27" x14ac:dyDescent="0.2">
      <c r="A38" s="270"/>
      <c r="B38" s="315"/>
      <c r="C38" s="315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</row>
    <row r="39" spans="1:27" x14ac:dyDescent="0.2">
      <c r="A39" s="270"/>
      <c r="B39" s="315"/>
      <c r="C39" s="315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</row>
    <row r="40" spans="1:27" x14ac:dyDescent="0.2">
      <c r="A40" s="270"/>
      <c r="B40" s="315"/>
      <c r="C40" s="315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</row>
    <row r="41" spans="1:27" x14ac:dyDescent="0.2">
      <c r="A41" s="270"/>
      <c r="B41" s="315"/>
      <c r="C41" s="315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</row>
    <row r="42" spans="1:27" x14ac:dyDescent="0.2">
      <c r="A42" s="270"/>
      <c r="B42" s="315"/>
      <c r="C42" s="315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</row>
    <row r="43" spans="1:27" x14ac:dyDescent="0.2">
      <c r="A43" s="270"/>
      <c r="B43" s="315"/>
      <c r="C43" s="315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</row>
    <row r="44" spans="1:27" x14ac:dyDescent="0.2">
      <c r="A44" s="270"/>
      <c r="B44" s="314"/>
      <c r="C44" s="314"/>
      <c r="D44" s="319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</row>
    <row r="45" spans="1:27" x14ac:dyDescent="0.2">
      <c r="A45" s="270"/>
      <c r="B45" s="315"/>
      <c r="C45" s="315"/>
      <c r="D45" s="269"/>
      <c r="E45" s="394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</row>
    <row r="46" spans="1:27" x14ac:dyDescent="0.2">
      <c r="A46" s="270"/>
      <c r="B46" s="315"/>
      <c r="C46" s="315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</row>
    <row r="47" spans="1:27" x14ac:dyDescent="0.2">
      <c r="A47" s="270"/>
      <c r="B47" s="315"/>
      <c r="C47" s="315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</row>
    <row r="48" spans="1:27" x14ac:dyDescent="0.2">
      <c r="A48" s="270"/>
      <c r="B48" s="314"/>
      <c r="C48" s="315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</row>
    <row r="49" spans="1:27" x14ac:dyDescent="0.2">
      <c r="A49" s="270"/>
      <c r="B49" s="315"/>
      <c r="C49" s="315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</row>
    <row r="50" spans="1:27" x14ac:dyDescent="0.2">
      <c r="A50" s="270"/>
      <c r="B50" s="315"/>
      <c r="C50" s="315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</row>
    <row r="51" spans="1:27" x14ac:dyDescent="0.2">
      <c r="A51" s="270"/>
      <c r="B51" s="314"/>
      <c r="C51" s="314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319"/>
    </row>
    <row r="52" spans="1:27" x14ac:dyDescent="0.2">
      <c r="A52" s="270"/>
      <c r="B52" s="316"/>
      <c r="C52" s="298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  <c r="AA52" s="269"/>
    </row>
    <row r="53" spans="1:27" x14ac:dyDescent="0.2">
      <c r="A53" s="270"/>
      <c r="B53" s="317"/>
      <c r="C53" s="318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</row>
    <row r="54" spans="1:27" x14ac:dyDescent="0.2">
      <c r="A54" s="270"/>
      <c r="B54" s="316"/>
      <c r="C54" s="29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</row>
    <row r="55" spans="1:27" x14ac:dyDescent="0.2">
      <c r="A55" s="270"/>
      <c r="B55" s="316"/>
      <c r="C55" s="298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</row>
    <row r="56" spans="1:27" x14ac:dyDescent="0.2">
      <c r="A56" s="270"/>
      <c r="B56" s="316"/>
      <c r="C56" s="298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</row>
    <row r="57" spans="1:27" x14ac:dyDescent="0.2">
      <c r="A57" s="270"/>
      <c r="B57" s="316"/>
      <c r="C57" s="298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</row>
    <row r="58" spans="1:27" x14ac:dyDescent="0.2">
      <c r="A58" s="270"/>
      <c r="B58" s="316"/>
      <c r="C58" s="298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</row>
    <row r="59" spans="1:27" x14ac:dyDescent="0.2">
      <c r="A59" s="270"/>
      <c r="B59" s="316"/>
      <c r="C59" s="298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  <c r="AA59" s="269"/>
    </row>
    <row r="60" spans="1:27" x14ac:dyDescent="0.2">
      <c r="A60" s="270"/>
      <c r="B60" s="316"/>
      <c r="C60" s="298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</row>
    <row r="61" spans="1:27" x14ac:dyDescent="0.2">
      <c r="A61" s="270"/>
      <c r="B61" s="316"/>
      <c r="C61" s="298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</row>
    <row r="62" spans="1:27" x14ac:dyDescent="0.2">
      <c r="A62" s="270"/>
      <c r="B62" s="317"/>
      <c r="C62" s="318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</row>
    <row r="63" spans="1:27" x14ac:dyDescent="0.2">
      <c r="A63" s="270"/>
      <c r="B63" s="316"/>
      <c r="C63" s="298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</row>
    <row r="64" spans="1:27" x14ac:dyDescent="0.2">
      <c r="A64" s="270"/>
      <c r="B64" s="316"/>
      <c r="C64" s="298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  <c r="AA64" s="269"/>
    </row>
    <row r="65" spans="1:27" x14ac:dyDescent="0.2">
      <c r="A65" s="270"/>
      <c r="B65" s="316"/>
      <c r="C65" s="298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  <c r="AA65" s="269"/>
    </row>
    <row r="66" spans="1:27" x14ac:dyDescent="0.2">
      <c r="A66" s="270"/>
      <c r="B66" s="316"/>
      <c r="C66" s="298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  <c r="AA66" s="269"/>
    </row>
    <row r="67" spans="1:27" x14ac:dyDescent="0.2">
      <c r="A67" s="270"/>
      <c r="B67" s="316"/>
      <c r="C67" s="298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  <c r="AA67" s="269"/>
    </row>
    <row r="68" spans="1:27" x14ac:dyDescent="0.2">
      <c r="A68" s="31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  <c r="AA68" s="269"/>
    </row>
    <row r="69" spans="1:27" x14ac:dyDescent="0.2">
      <c r="A69" s="319"/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  <c r="AA69" s="269"/>
    </row>
    <row r="70" spans="1:27" x14ac:dyDescent="0.2">
      <c r="A70" s="31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  <c r="AA70" s="269"/>
    </row>
    <row r="71" spans="1:27" x14ac:dyDescent="0.2">
      <c r="A71" s="31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  <c r="AA71" s="269"/>
    </row>
    <row r="72" spans="1:27" x14ac:dyDescent="0.2">
      <c r="A72" s="31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  <c r="AA72" s="269"/>
    </row>
    <row r="73" spans="1:27" x14ac:dyDescent="0.2">
      <c r="A73" s="31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  <c r="AA73" s="269"/>
    </row>
    <row r="74" spans="1:27" x14ac:dyDescent="0.2">
      <c r="A74" s="31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  <c r="AA74" s="269"/>
    </row>
    <row r="75" spans="1:27" x14ac:dyDescent="0.2">
      <c r="A75" s="31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</row>
    <row r="76" spans="1:27" x14ac:dyDescent="0.2">
      <c r="A76" s="31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  <c r="AA76" s="269"/>
    </row>
    <row r="77" spans="1:27" x14ac:dyDescent="0.2">
      <c r="A77" s="31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  <c r="AA77" s="269"/>
    </row>
    <row r="78" spans="1:27" x14ac:dyDescent="0.2">
      <c r="A78" s="31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  <c r="AA78" s="269"/>
    </row>
    <row r="79" spans="1:27" x14ac:dyDescent="0.2">
      <c r="A79" s="319"/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  <c r="AA79" s="269"/>
    </row>
    <row r="80" spans="1:27" x14ac:dyDescent="0.2">
      <c r="A80" s="319"/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</row>
    <row r="81" spans="1:27" x14ac:dyDescent="0.2">
      <c r="A81" s="319"/>
      <c r="B81" s="269"/>
      <c r="C81" s="26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  <c r="AA81" s="269"/>
    </row>
    <row r="82" spans="1:27" x14ac:dyDescent="0.2">
      <c r="A82" s="319"/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  <c r="AA82" s="269"/>
    </row>
    <row r="83" spans="1:27" x14ac:dyDescent="0.2">
      <c r="A83" s="319"/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  <c r="AA83" s="269"/>
    </row>
    <row r="84" spans="1:27" x14ac:dyDescent="0.2">
      <c r="A84" s="319"/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  <c r="AA84" s="269"/>
    </row>
    <row r="85" spans="1:27" x14ac:dyDescent="0.2">
      <c r="A85" s="319"/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  <c r="AA85" s="269"/>
    </row>
  </sheetData>
  <hyperlinks>
    <hyperlink ref="G4" r:id="rId1"/>
    <hyperlink ref="K4" r:id="rId2"/>
    <hyperlink ref="G3" r:id="rId3"/>
    <hyperlink ref="G2" r:id="rId4"/>
    <hyperlink ref="Q5" r:id="rId5"/>
    <hyperlink ref="T5" r:id="rId6"/>
    <hyperlink ref="G5" r:id="rId7"/>
    <hyperlink ref="K5" r:id="rId8" display="Archana.Sali@ca.com"/>
    <hyperlink ref="N5" r:id="rId9" display="vikas.kumar@syniverse.com"/>
    <hyperlink ref="G7" r:id="rId10"/>
    <hyperlink ref="G8" r:id="rId11"/>
    <hyperlink ref="G9" r:id="rId12"/>
    <hyperlink ref="K9" r:id="rId13"/>
    <hyperlink ref="N10" r:id="rId14"/>
    <hyperlink ref="G11" r:id="rId15"/>
    <hyperlink ref="K11" r:id="rId16"/>
    <hyperlink ref="K12" r:id="rId17"/>
    <hyperlink ref="G12" r:id="rId18"/>
    <hyperlink ref="N13" r:id="rId19"/>
    <hyperlink ref="G13" r:id="rId20"/>
    <hyperlink ref="Q13" r:id="rId21"/>
    <hyperlink ref="K15" r:id="rId22"/>
    <hyperlink ref="J15" r:id="rId23"/>
  </hyperlinks>
  <pageMargins left="0.7" right="0.7" top="0.75" bottom="0.75" header="0.3" footer="0.3"/>
  <legacy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9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33.5" bestFit="1" customWidth="1"/>
    <col min="2" max="2" width="25" bestFit="1" customWidth="1"/>
    <col min="3" max="3" width="21.6640625" bestFit="1" customWidth="1"/>
    <col min="4" max="4" width="33.5" bestFit="1" customWidth="1"/>
    <col min="5" max="5" width="18.5" customWidth="1"/>
    <col min="6" max="6" width="9.1640625" customWidth="1"/>
    <col min="7" max="7" width="21.33203125" customWidth="1"/>
  </cols>
  <sheetData>
    <row r="1" spans="1:16" x14ac:dyDescent="0.2">
      <c r="A1" s="383" t="s">
        <v>1173</v>
      </c>
      <c r="B1" s="384" t="s">
        <v>1160</v>
      </c>
      <c r="C1" s="384">
        <v>9741409933</v>
      </c>
      <c r="D1" s="384" t="s">
        <v>1161</v>
      </c>
      <c r="E1" s="384" t="s">
        <v>965</v>
      </c>
      <c r="F1" s="384">
        <v>9900510052</v>
      </c>
      <c r="G1" s="384" t="s">
        <v>967</v>
      </c>
      <c r="H1" s="384" t="s">
        <v>1174</v>
      </c>
      <c r="I1" s="384">
        <v>9731568252</v>
      </c>
      <c r="J1" s="385" t="s">
        <v>1176</v>
      </c>
      <c r="K1" s="384"/>
      <c r="L1" s="384"/>
      <c r="M1" s="385"/>
      <c r="N1" s="384"/>
      <c r="O1" s="384"/>
      <c r="P1" s="384"/>
    </row>
    <row r="2" spans="1:16" x14ac:dyDescent="0.2">
      <c r="A2" s="383" t="s">
        <v>1177</v>
      </c>
      <c r="B2" s="384"/>
      <c r="C2" s="384"/>
      <c r="D2" s="384"/>
      <c r="E2" s="384" t="s">
        <v>1178</v>
      </c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</row>
    <row r="3" spans="1:16" x14ac:dyDescent="0.2">
      <c r="A3" s="383" t="s">
        <v>1166</v>
      </c>
      <c r="B3" s="386" t="s">
        <v>1165</v>
      </c>
      <c r="C3" s="386">
        <v>9535038913</v>
      </c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</row>
    <row r="4" spans="1:16" x14ac:dyDescent="0.2">
      <c r="A4" s="383" t="s">
        <v>1156</v>
      </c>
      <c r="B4" s="384" t="s">
        <v>1155</v>
      </c>
      <c r="C4" s="384">
        <v>9845085833</v>
      </c>
      <c r="D4" s="384" t="s">
        <v>1157</v>
      </c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</row>
    <row r="5" spans="1:16" x14ac:dyDescent="0.2">
      <c r="A5" s="383" t="s">
        <v>1026</v>
      </c>
      <c r="B5" s="384" t="s">
        <v>1025</v>
      </c>
      <c r="C5" s="384">
        <v>8553001627</v>
      </c>
      <c r="D5" s="384" t="s">
        <v>1027</v>
      </c>
      <c r="E5" s="384" t="s">
        <v>1179</v>
      </c>
      <c r="F5" s="384">
        <v>9742543232</v>
      </c>
      <c r="G5" s="384" t="s">
        <v>1180</v>
      </c>
      <c r="H5" s="384" t="s">
        <v>1151</v>
      </c>
      <c r="I5" s="384">
        <v>8861517696</v>
      </c>
      <c r="J5" s="384" t="s">
        <v>1152</v>
      </c>
      <c r="K5" s="384" t="s">
        <v>1158</v>
      </c>
      <c r="L5" s="384">
        <v>9739388168</v>
      </c>
      <c r="M5" s="384" t="s">
        <v>1159</v>
      </c>
      <c r="N5" s="384"/>
      <c r="O5" s="384"/>
      <c r="P5" s="384"/>
    </row>
    <row r="6" spans="1:16" x14ac:dyDescent="0.2">
      <c r="A6" s="383" t="s">
        <v>1167</v>
      </c>
      <c r="B6" s="384" t="s">
        <v>883</v>
      </c>
      <c r="C6" s="384">
        <v>9900042496</v>
      </c>
      <c r="D6" s="384" t="s">
        <v>1168</v>
      </c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</row>
    <row r="7" spans="1:16" x14ac:dyDescent="0.2">
      <c r="A7" s="383" t="s">
        <v>1169</v>
      </c>
      <c r="B7" s="387" t="s">
        <v>1164</v>
      </c>
      <c r="C7" s="387">
        <v>9740966894</v>
      </c>
      <c r="D7" s="385" t="s">
        <v>1181</v>
      </c>
      <c r="E7" s="386" t="s">
        <v>1153</v>
      </c>
      <c r="F7" s="386">
        <v>9739286868</v>
      </c>
      <c r="G7" s="386" t="s">
        <v>1154</v>
      </c>
      <c r="H7" s="386" t="s">
        <v>1162</v>
      </c>
      <c r="I7" s="388">
        <v>9620206258</v>
      </c>
      <c r="J7" s="389" t="s">
        <v>1163</v>
      </c>
      <c r="K7" s="386" t="s">
        <v>1182</v>
      </c>
      <c r="L7" s="386">
        <v>9886022541</v>
      </c>
      <c r="M7" s="386"/>
      <c r="N7" s="386"/>
      <c r="O7" s="386"/>
      <c r="P7" s="386"/>
    </row>
    <row r="8" spans="1:16" x14ac:dyDescent="0.2">
      <c r="A8" s="383" t="s">
        <v>1183</v>
      </c>
      <c r="B8" s="384" t="s">
        <v>1184</v>
      </c>
      <c r="C8" s="384"/>
      <c r="D8" s="384"/>
      <c r="E8" s="384" t="s">
        <v>1185</v>
      </c>
      <c r="F8" s="384"/>
      <c r="G8" s="384"/>
      <c r="H8" s="384"/>
      <c r="I8" s="384"/>
      <c r="J8" s="384"/>
      <c r="K8" s="384"/>
      <c r="L8" s="384"/>
      <c r="M8" s="384"/>
      <c r="N8" s="384"/>
      <c r="O8" s="384"/>
      <c r="P8" s="384"/>
    </row>
    <row r="9" spans="1:16" x14ac:dyDescent="0.2">
      <c r="A9" s="383" t="s">
        <v>1186</v>
      </c>
      <c r="B9" s="384"/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84"/>
      <c r="P9" s="384"/>
    </row>
    <row r="10" spans="1:16" x14ac:dyDescent="0.2">
      <c r="A10" s="383" t="s">
        <v>1187</v>
      </c>
      <c r="B10" s="384" t="s">
        <v>1188</v>
      </c>
      <c r="C10" s="384"/>
      <c r="D10" s="384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0"/>
    </row>
    <row r="11" spans="1:16" x14ac:dyDescent="0.2">
      <c r="A11" s="383" t="s">
        <v>1189</v>
      </c>
      <c r="B11" s="384" t="s">
        <v>1190</v>
      </c>
      <c r="C11" s="384" t="s">
        <v>1191</v>
      </c>
      <c r="D11" s="384" t="s">
        <v>1192</v>
      </c>
      <c r="E11" s="390"/>
      <c r="F11" s="390"/>
      <c r="G11" s="390"/>
      <c r="H11" s="390"/>
      <c r="I11" s="390"/>
      <c r="J11" s="390"/>
      <c r="K11" s="390"/>
      <c r="L11" s="390"/>
      <c r="M11" s="390"/>
      <c r="N11" s="390"/>
      <c r="O11" s="390"/>
      <c r="P11" s="390"/>
    </row>
    <row r="12" spans="1:16" x14ac:dyDescent="0.2">
      <c r="A12" s="383" t="s">
        <v>1193</v>
      </c>
      <c r="B12" s="384" t="s">
        <v>1194</v>
      </c>
      <c r="C12" s="384">
        <v>9845510009</v>
      </c>
      <c r="D12" s="332" t="s">
        <v>1195</v>
      </c>
      <c r="E12" s="390"/>
      <c r="F12" s="390"/>
      <c r="G12" s="390"/>
      <c r="H12" s="390"/>
      <c r="I12" s="390"/>
      <c r="J12" s="390"/>
      <c r="K12" s="390"/>
      <c r="L12" s="390"/>
      <c r="M12" s="390"/>
      <c r="N12" s="390"/>
      <c r="O12" s="390"/>
      <c r="P12" s="390"/>
    </row>
    <row r="13" spans="1:16" x14ac:dyDescent="0.2">
      <c r="A13" s="391" t="s">
        <v>1196</v>
      </c>
      <c r="B13" s="393" t="s">
        <v>1197</v>
      </c>
      <c r="C13" s="393" t="s">
        <v>1198</v>
      </c>
      <c r="D13" s="393" t="s">
        <v>1199</v>
      </c>
      <c r="E13" s="392"/>
      <c r="F13" s="392"/>
      <c r="G13" s="392"/>
      <c r="H13" s="392"/>
      <c r="I13" s="392"/>
      <c r="J13" s="392"/>
      <c r="K13" s="392"/>
      <c r="L13" s="392"/>
      <c r="M13" s="392"/>
      <c r="N13" s="392"/>
      <c r="O13" s="392"/>
      <c r="P13" s="392"/>
    </row>
    <row r="14" spans="1:16" x14ac:dyDescent="0.2">
      <c r="A14" s="393" t="s">
        <v>1200</v>
      </c>
      <c r="B14" s="393" t="s">
        <v>1201</v>
      </c>
      <c r="C14" s="393" t="s">
        <v>1202</v>
      </c>
      <c r="D14" s="393" t="s">
        <v>1203</v>
      </c>
      <c r="E14" s="392"/>
      <c r="F14" s="392"/>
      <c r="G14" s="392"/>
      <c r="H14" s="392"/>
      <c r="I14" s="392"/>
      <c r="J14" s="392"/>
      <c r="K14" s="392"/>
      <c r="L14" s="392"/>
      <c r="M14" s="392"/>
      <c r="N14" s="392"/>
      <c r="O14" s="392"/>
      <c r="P14" s="392"/>
    </row>
    <row r="15" spans="1:16" x14ac:dyDescent="0.2">
      <c r="A15" s="393" t="s">
        <v>1204</v>
      </c>
      <c r="B15" s="393" t="s">
        <v>1205</v>
      </c>
      <c r="C15" s="393" t="s">
        <v>1206</v>
      </c>
      <c r="D15" s="393" t="s">
        <v>701</v>
      </c>
      <c r="E15" s="392"/>
      <c r="F15" s="392"/>
      <c r="G15" s="392"/>
      <c r="H15" s="392"/>
      <c r="I15" s="392"/>
      <c r="J15" s="392"/>
      <c r="K15" s="392"/>
      <c r="L15" s="392"/>
      <c r="M15" s="392"/>
      <c r="N15" s="392"/>
      <c r="O15" s="392"/>
      <c r="P15" s="392"/>
    </row>
    <row r="16" spans="1:16" x14ac:dyDescent="0.2">
      <c r="A16" s="393" t="s">
        <v>1207</v>
      </c>
      <c r="B16" s="393" t="s">
        <v>1208</v>
      </c>
      <c r="C16" s="393" t="s">
        <v>1209</v>
      </c>
      <c r="D16" s="393" t="s">
        <v>1210</v>
      </c>
      <c r="E16" s="392"/>
      <c r="F16" s="392"/>
      <c r="G16" s="392"/>
      <c r="H16" s="392"/>
      <c r="I16" s="392"/>
      <c r="J16" s="392"/>
      <c r="K16" s="392"/>
      <c r="L16" s="392"/>
      <c r="M16" s="392"/>
      <c r="N16" s="392"/>
      <c r="O16" s="392"/>
      <c r="P16" s="392"/>
    </row>
    <row r="17" spans="1:16" x14ac:dyDescent="0.2">
      <c r="A17" s="393" t="s">
        <v>1211</v>
      </c>
      <c r="B17" s="393" t="s">
        <v>1212</v>
      </c>
      <c r="C17" s="393" t="s">
        <v>1213</v>
      </c>
      <c r="D17" s="393" t="s">
        <v>701</v>
      </c>
      <c r="E17" s="392"/>
      <c r="F17" s="392"/>
      <c r="G17" s="392"/>
      <c r="H17" s="392"/>
      <c r="I17" s="392"/>
      <c r="J17" s="392"/>
      <c r="K17" s="392"/>
      <c r="L17" s="392"/>
      <c r="M17" s="392"/>
      <c r="N17" s="392"/>
      <c r="O17" s="392"/>
      <c r="P17" s="392"/>
    </row>
    <row r="18" spans="1:16" x14ac:dyDescent="0.2">
      <c r="A18" s="393" t="s">
        <v>1214</v>
      </c>
      <c r="B18" s="393"/>
      <c r="C18" s="393" t="s">
        <v>1215</v>
      </c>
      <c r="D18" s="393" t="s">
        <v>1216</v>
      </c>
      <c r="E18" s="392"/>
      <c r="F18" s="392"/>
      <c r="G18" s="392"/>
      <c r="H18" s="392"/>
      <c r="I18" s="392"/>
      <c r="J18" s="392"/>
      <c r="K18" s="392"/>
      <c r="L18" s="392"/>
      <c r="M18" s="392"/>
      <c r="N18" s="392"/>
      <c r="O18" s="392"/>
      <c r="P18" s="392"/>
    </row>
    <row r="19" spans="1:16" x14ac:dyDescent="0.2">
      <c r="A19" s="384" t="s">
        <v>1217</v>
      </c>
      <c r="B19" s="392"/>
      <c r="C19" s="392"/>
      <c r="D19" s="392"/>
      <c r="E19" s="392"/>
      <c r="F19" s="392"/>
      <c r="G19" s="392"/>
      <c r="H19" s="392"/>
      <c r="I19" s="392"/>
      <c r="J19" s="392"/>
      <c r="K19" s="392"/>
      <c r="L19" s="392"/>
      <c r="M19" s="392"/>
      <c r="N19" s="392"/>
      <c r="O19" s="392"/>
      <c r="P19" s="392"/>
    </row>
  </sheetData>
  <hyperlinks>
    <hyperlink ref="G1" r:id="rId1"/>
    <hyperlink ref="J1" r:id="rId2"/>
    <hyperlink ref="M5" r:id="rId3"/>
    <hyperlink ref="G7" r:id="rId4"/>
    <hyperlink ref="J7" r:id="rId5"/>
    <hyperlink ref="D7" r:id="rId6"/>
    <hyperlink ref="D12" r:id="rId7"/>
  </hyperlinks>
  <pageMargins left="0.7" right="0.7" top="0.75" bottom="0.75" header="0.3" footer="0.3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opLeftCell="C1" workbookViewId="0">
      <selection activeCell="F7" sqref="F7"/>
    </sheetView>
  </sheetViews>
  <sheetFormatPr baseColWidth="10" defaultColWidth="8.83203125" defaultRowHeight="15" x14ac:dyDescent="0.2"/>
  <cols>
    <col min="2" max="2" width="22" customWidth="1"/>
    <col min="3" max="3" width="31.5" customWidth="1"/>
    <col min="4" max="4" width="28.83203125" customWidth="1"/>
    <col min="5" max="5" width="32.1640625" customWidth="1"/>
    <col min="6" max="6" width="23.5" customWidth="1"/>
  </cols>
  <sheetData>
    <row r="1" spans="1:12" x14ac:dyDescent="0.2">
      <c r="A1" s="404" t="s">
        <v>1218</v>
      </c>
      <c r="B1" s="404" t="s">
        <v>1219</v>
      </c>
      <c r="C1" s="404" t="s">
        <v>1</v>
      </c>
      <c r="D1" s="404" t="s">
        <v>1225</v>
      </c>
      <c r="E1" s="404" t="s">
        <v>1226</v>
      </c>
    </row>
    <row r="2" spans="1:12" x14ac:dyDescent="0.2">
      <c r="A2" s="409">
        <v>1</v>
      </c>
      <c r="B2" s="404" t="s">
        <v>437</v>
      </c>
      <c r="C2" s="396" t="s">
        <v>438</v>
      </c>
      <c r="D2" s="396">
        <v>9790968779</v>
      </c>
      <c r="E2" s="397" t="s">
        <v>440</v>
      </c>
      <c r="F2" s="402" t="s">
        <v>441</v>
      </c>
      <c r="G2" s="68">
        <v>9177593031</v>
      </c>
      <c r="H2" s="69" t="s">
        <v>443</v>
      </c>
    </row>
    <row r="3" spans="1:12" x14ac:dyDescent="0.2">
      <c r="A3" s="404">
        <v>2</v>
      </c>
      <c r="B3" s="404" t="s">
        <v>485</v>
      </c>
      <c r="C3" s="398" t="s">
        <v>486</v>
      </c>
      <c r="D3" s="398" t="s">
        <v>488</v>
      </c>
      <c r="E3" s="399" t="s">
        <v>489</v>
      </c>
      <c r="F3" s="403" t="s">
        <v>490</v>
      </c>
      <c r="G3" s="160"/>
    </row>
    <row r="4" spans="1:12" x14ac:dyDescent="0.2">
      <c r="A4" s="404">
        <v>3</v>
      </c>
      <c r="B4" s="404" t="s">
        <v>1173</v>
      </c>
      <c r="C4" s="407" t="s">
        <v>1160</v>
      </c>
      <c r="D4" s="407">
        <v>9741409933</v>
      </c>
      <c r="E4" s="407" t="s">
        <v>1161</v>
      </c>
      <c r="F4" s="407" t="s">
        <v>1235</v>
      </c>
      <c r="G4" s="407">
        <v>9900510052</v>
      </c>
      <c r="H4" s="407" t="s">
        <v>967</v>
      </c>
      <c r="I4" s="407" t="s">
        <v>1174</v>
      </c>
      <c r="J4" s="407" t="s">
        <v>1175</v>
      </c>
      <c r="K4" s="407">
        <v>9731568252</v>
      </c>
      <c r="L4" s="408" t="s">
        <v>1176</v>
      </c>
    </row>
    <row r="5" spans="1:12" x14ac:dyDescent="0.2">
      <c r="A5" s="404">
        <v>4</v>
      </c>
      <c r="B5" s="404" t="s">
        <v>1220</v>
      </c>
      <c r="C5" s="404"/>
      <c r="D5" s="404"/>
      <c r="E5" s="404"/>
    </row>
    <row r="6" spans="1:12" x14ac:dyDescent="0.2">
      <c r="A6" s="404">
        <v>5</v>
      </c>
      <c r="B6" s="404" t="s">
        <v>1221</v>
      </c>
      <c r="C6" s="404"/>
      <c r="D6" s="404"/>
      <c r="E6" s="404"/>
    </row>
    <row r="7" spans="1:12" x14ac:dyDescent="0.2">
      <c r="A7" s="404">
        <v>6</v>
      </c>
      <c r="B7" s="404" t="s">
        <v>1222</v>
      </c>
      <c r="C7" s="404"/>
      <c r="D7" s="404"/>
      <c r="E7" s="404"/>
    </row>
    <row r="8" spans="1:12" x14ac:dyDescent="0.2">
      <c r="A8" s="404">
        <v>7</v>
      </c>
      <c r="B8" s="404" t="s">
        <v>1223</v>
      </c>
      <c r="C8" s="400" t="s">
        <v>413</v>
      </c>
      <c r="D8" s="400">
        <v>9886895897</v>
      </c>
      <c r="E8" s="401" t="s">
        <v>414</v>
      </c>
    </row>
    <row r="9" spans="1:12" x14ac:dyDescent="0.2">
      <c r="A9" s="404">
        <v>8</v>
      </c>
      <c r="B9" s="404" t="s">
        <v>76</v>
      </c>
      <c r="C9" s="400" t="s">
        <v>591</v>
      </c>
      <c r="D9" s="400">
        <v>9980166408</v>
      </c>
      <c r="E9" s="401" t="s">
        <v>592</v>
      </c>
      <c r="F9" s="413" t="s">
        <v>1234</v>
      </c>
    </row>
    <row r="10" spans="1:12" x14ac:dyDescent="0.2">
      <c r="A10" s="404">
        <v>9</v>
      </c>
      <c r="B10" s="404" t="s">
        <v>14</v>
      </c>
      <c r="C10" s="405" t="s">
        <v>15</v>
      </c>
      <c r="D10" s="405" t="s">
        <v>17</v>
      </c>
      <c r="E10" s="406" t="str">
        <f>HYPERLINK("mailto:raghavendra.bhat@altisource.com","raghavendra.bhat@altisource.com")</f>
        <v>raghavendra.bhat@altisource.com</v>
      </c>
    </row>
    <row r="11" spans="1:12" x14ac:dyDescent="0.2">
      <c r="A11" s="404">
        <v>10</v>
      </c>
      <c r="B11" s="412" t="s">
        <v>1232</v>
      </c>
      <c r="C11" s="404"/>
      <c r="D11" s="404"/>
      <c r="E11" s="404"/>
    </row>
    <row r="12" spans="1:12" x14ac:dyDescent="0.2">
      <c r="A12" s="404">
        <v>11</v>
      </c>
      <c r="B12" s="404" t="s">
        <v>1177</v>
      </c>
      <c r="C12" s="404"/>
      <c r="D12" s="404"/>
      <c r="E12" s="404"/>
    </row>
    <row r="13" spans="1:12" x14ac:dyDescent="0.2">
      <c r="A13" s="404">
        <v>12</v>
      </c>
      <c r="B13" s="404" t="s">
        <v>1224</v>
      </c>
      <c r="C13" s="404"/>
      <c r="D13" s="404"/>
      <c r="E13" s="404"/>
    </row>
    <row r="17" spans="1:3" x14ac:dyDescent="0.2">
      <c r="A17" s="410"/>
      <c r="B17" s="411" t="s">
        <v>1227</v>
      </c>
      <c r="C17" s="411" t="s">
        <v>1228</v>
      </c>
    </row>
    <row r="18" spans="1:3" x14ac:dyDescent="0.2">
      <c r="B18" s="411" t="s">
        <v>1229</v>
      </c>
      <c r="C18" s="411" t="s">
        <v>1231</v>
      </c>
    </row>
    <row r="19" spans="1:3" x14ac:dyDescent="0.2">
      <c r="B19" s="411" t="s">
        <v>485</v>
      </c>
      <c r="C19" s="411" t="s">
        <v>1230</v>
      </c>
    </row>
    <row r="26" spans="1:3" x14ac:dyDescent="0.2">
      <c r="B26" t="s">
        <v>1233</v>
      </c>
      <c r="C26">
        <v>7899348444</v>
      </c>
    </row>
  </sheetData>
  <hyperlinks>
    <hyperlink ref="E10" r:id="rId1" display="mailto:raghavendra.bhat@altisource.com"/>
    <hyperlink ref="E2" r:id="rId2"/>
    <hyperlink ref="H2" r:id="rId3"/>
    <hyperlink ref="E3" r:id="rId4"/>
    <hyperlink ref="E8" r:id="rId5"/>
    <hyperlink ref="E9" r:id="rId6"/>
    <hyperlink ref="H4" r:id="rId7"/>
    <hyperlink ref="L4" r:id="rId8"/>
  </hyperlinks>
  <pageMargins left="0.7" right="0.7" top="0.75" bottom="0.75" header="0.3" footer="0.3"/>
  <pageSetup paperSize="9" orientation="portrait"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15.1640625" bestFit="1" customWidth="1"/>
    <col min="3" max="3" width="22.83203125" customWidth="1"/>
    <col min="4" max="4" width="26.5" customWidth="1"/>
    <col min="5" max="5" width="42.33203125" customWidth="1"/>
  </cols>
  <sheetData>
    <row r="1" spans="1:5" x14ac:dyDescent="0.2">
      <c r="A1" t="s">
        <v>1244</v>
      </c>
      <c r="B1" t="s">
        <v>1245</v>
      </c>
      <c r="C1" t="s">
        <v>1246</v>
      </c>
      <c r="D1" t="s">
        <v>1250</v>
      </c>
      <c r="E1" t="s">
        <v>1226</v>
      </c>
    </row>
    <row r="2" spans="1:5" x14ac:dyDescent="0.2">
      <c r="A2" t="s">
        <v>1253</v>
      </c>
      <c r="B2" t="s">
        <v>1247</v>
      </c>
      <c r="C2" t="s">
        <v>1160</v>
      </c>
      <c r="D2">
        <v>9741409933</v>
      </c>
      <c r="E2" s="415" t="s">
        <v>1161</v>
      </c>
    </row>
    <row r="3" spans="1:5" x14ac:dyDescent="0.2">
      <c r="A3" t="s">
        <v>1251</v>
      </c>
      <c r="B3" t="s">
        <v>1247</v>
      </c>
    </row>
    <row r="4" spans="1:5" x14ac:dyDescent="0.2">
      <c r="A4" t="s">
        <v>1236</v>
      </c>
      <c r="B4" t="s">
        <v>1247</v>
      </c>
    </row>
    <row r="5" spans="1:5" x14ac:dyDescent="0.2">
      <c r="A5" t="s">
        <v>1237</v>
      </c>
      <c r="B5" t="s">
        <v>1247</v>
      </c>
      <c r="C5" t="s">
        <v>1252</v>
      </c>
      <c r="D5">
        <v>9036150948</v>
      </c>
      <c r="E5" t="s">
        <v>1360</v>
      </c>
    </row>
    <row r="6" spans="1:5" x14ac:dyDescent="0.2">
      <c r="A6" t="s">
        <v>1238</v>
      </c>
      <c r="B6" t="s">
        <v>1247</v>
      </c>
      <c r="C6" t="s">
        <v>1256</v>
      </c>
      <c r="D6" t="s">
        <v>1255</v>
      </c>
    </row>
    <row r="7" spans="1:5" x14ac:dyDescent="0.2">
      <c r="A7" t="s">
        <v>1239</v>
      </c>
      <c r="B7" t="s">
        <v>1247</v>
      </c>
      <c r="C7" t="s">
        <v>906</v>
      </c>
      <c r="D7">
        <v>9972122117</v>
      </c>
    </row>
    <row r="8" spans="1:5" x14ac:dyDescent="0.2">
      <c r="A8" t="s">
        <v>1242</v>
      </c>
      <c r="B8" t="s">
        <v>1247</v>
      </c>
      <c r="C8" t="s">
        <v>1248</v>
      </c>
      <c r="D8">
        <v>8970772021</v>
      </c>
    </row>
    <row r="9" spans="1:5" x14ac:dyDescent="0.2">
      <c r="A9" t="s">
        <v>1240</v>
      </c>
      <c r="B9" t="s">
        <v>1247</v>
      </c>
      <c r="C9" t="s">
        <v>1241</v>
      </c>
      <c r="D9">
        <v>9900176207</v>
      </c>
      <c r="E9" s="406" t="str">
        <f>HYPERLINK("mailto:raghavendra.bhat@altisource.com","raghavendra.bhat@altisource.com")</f>
        <v>raghavendra.bhat@altisource.com</v>
      </c>
    </row>
    <row r="10" spans="1:5" x14ac:dyDescent="0.2">
      <c r="A10" t="s">
        <v>437</v>
      </c>
      <c r="B10" t="s">
        <v>1247</v>
      </c>
      <c r="C10" t="s">
        <v>1249</v>
      </c>
      <c r="D10">
        <v>9790968779</v>
      </c>
      <c r="E10" s="414" t="s">
        <v>440</v>
      </c>
    </row>
    <row r="11" spans="1:5" x14ac:dyDescent="0.2">
      <c r="A11" t="s">
        <v>1223</v>
      </c>
      <c r="B11" t="s">
        <v>1247</v>
      </c>
      <c r="C11" t="s">
        <v>413</v>
      </c>
      <c r="D11" s="400">
        <v>9886895897</v>
      </c>
      <c r="E11" s="401" t="s">
        <v>414</v>
      </c>
    </row>
    <row r="12" spans="1:5" x14ac:dyDescent="0.2">
      <c r="A12" t="s">
        <v>76</v>
      </c>
      <c r="B12" t="s">
        <v>1247</v>
      </c>
      <c r="C12" t="s">
        <v>1254</v>
      </c>
      <c r="D12" s="400">
        <v>9980166408</v>
      </c>
      <c r="E12" s="401" t="s">
        <v>592</v>
      </c>
    </row>
    <row r="13" spans="1:5" x14ac:dyDescent="0.2">
      <c r="A13" t="s">
        <v>1166</v>
      </c>
      <c r="B13" t="s">
        <v>1247</v>
      </c>
      <c r="C13" t="s">
        <v>1165</v>
      </c>
      <c r="D13" s="386">
        <v>9535038913</v>
      </c>
      <c r="E13" s="416" t="s">
        <v>1269</v>
      </c>
    </row>
    <row r="14" spans="1:5" x14ac:dyDescent="0.2">
      <c r="A14" t="s">
        <v>1156</v>
      </c>
      <c r="B14" t="s">
        <v>1247</v>
      </c>
      <c r="C14" t="s">
        <v>1257</v>
      </c>
      <c r="D14" s="384">
        <v>9845085833</v>
      </c>
      <c r="E14" s="384" t="s">
        <v>1157</v>
      </c>
    </row>
    <row r="15" spans="1:5" x14ac:dyDescent="0.2">
      <c r="A15" t="s">
        <v>1026</v>
      </c>
      <c r="B15" t="s">
        <v>1247</v>
      </c>
      <c r="C15" t="s">
        <v>1025</v>
      </c>
      <c r="D15" s="384">
        <v>8553001627</v>
      </c>
      <c r="E15" s="384" t="s">
        <v>1027</v>
      </c>
    </row>
    <row r="16" spans="1:5" x14ac:dyDescent="0.2">
      <c r="A16" t="s">
        <v>1169</v>
      </c>
      <c r="B16" t="s">
        <v>1247</v>
      </c>
      <c r="C16" t="s">
        <v>1258</v>
      </c>
      <c r="D16" s="387">
        <v>9740966894</v>
      </c>
      <c r="E16" s="385" t="s">
        <v>1181</v>
      </c>
    </row>
    <row r="17" spans="1:5" x14ac:dyDescent="0.2">
      <c r="A17" t="s">
        <v>1260</v>
      </c>
      <c r="B17" t="s">
        <v>1247</v>
      </c>
      <c r="C17" t="s">
        <v>1259</v>
      </c>
      <c r="D17" s="384" t="s">
        <v>1191</v>
      </c>
      <c r="E17" s="384" t="s">
        <v>1192</v>
      </c>
    </row>
    <row r="18" spans="1:5" x14ac:dyDescent="0.2">
      <c r="A18" t="s">
        <v>1193</v>
      </c>
      <c r="B18" t="s">
        <v>1243</v>
      </c>
      <c r="C18" t="s">
        <v>1261</v>
      </c>
      <c r="D18" s="384">
        <v>9845510009</v>
      </c>
      <c r="E18" s="332" t="s">
        <v>1195</v>
      </c>
    </row>
    <row r="19" spans="1:5" x14ac:dyDescent="0.2">
      <c r="A19" t="s">
        <v>269</v>
      </c>
      <c r="B19" t="s">
        <v>1247</v>
      </c>
    </row>
    <row r="20" spans="1:5" x14ac:dyDescent="0.2">
      <c r="A20" t="s">
        <v>1263</v>
      </c>
      <c r="B20" t="s">
        <v>1247</v>
      </c>
    </row>
    <row r="21" spans="1:5" x14ac:dyDescent="0.2">
      <c r="A21" t="s">
        <v>1264</v>
      </c>
      <c r="B21" t="s">
        <v>1247</v>
      </c>
    </row>
    <row r="22" spans="1:5" x14ac:dyDescent="0.2">
      <c r="A22" t="s">
        <v>1265</v>
      </c>
      <c r="B22" t="s">
        <v>1247</v>
      </c>
    </row>
    <row r="23" spans="1:5" x14ac:dyDescent="0.2">
      <c r="A23" t="s">
        <v>1266</v>
      </c>
      <c r="B23" t="s">
        <v>1247</v>
      </c>
    </row>
    <row r="24" spans="1:5" x14ac:dyDescent="0.2">
      <c r="A24" t="s">
        <v>968</v>
      </c>
      <c r="B24" t="s">
        <v>1247</v>
      </c>
    </row>
    <row r="25" spans="1:5" x14ac:dyDescent="0.2">
      <c r="A25" t="s">
        <v>1267</v>
      </c>
      <c r="B25" t="s">
        <v>1247</v>
      </c>
    </row>
    <row r="26" spans="1:5" x14ac:dyDescent="0.2">
      <c r="A26" t="s">
        <v>1268</v>
      </c>
      <c r="B26" t="s">
        <v>1247</v>
      </c>
    </row>
    <row r="27" spans="1:5" x14ac:dyDescent="0.2">
      <c r="A27" t="s">
        <v>506</v>
      </c>
      <c r="B27" t="s">
        <v>1243</v>
      </c>
      <c r="C27" t="s">
        <v>1272</v>
      </c>
      <c r="D27" s="327" t="s">
        <v>807</v>
      </c>
      <c r="E27" s="328" t="s">
        <v>509</v>
      </c>
    </row>
    <row r="28" spans="1:5" x14ac:dyDescent="0.2">
      <c r="A28" t="s">
        <v>83</v>
      </c>
      <c r="B28" t="s">
        <v>1243</v>
      </c>
      <c r="C28" t="s">
        <v>606</v>
      </c>
      <c r="D28" s="327">
        <v>9742111020</v>
      </c>
      <c r="E28" s="328" t="s">
        <v>607</v>
      </c>
    </row>
    <row r="29" spans="1:5" x14ac:dyDescent="0.2">
      <c r="A29" t="s">
        <v>1275</v>
      </c>
      <c r="B29" t="s">
        <v>1243</v>
      </c>
      <c r="C29" t="s">
        <v>1276</v>
      </c>
      <c r="D29" s="327">
        <v>9886640333</v>
      </c>
      <c r="E29" s="328" t="s">
        <v>528</v>
      </c>
    </row>
    <row r="30" spans="1:5" x14ac:dyDescent="0.2">
      <c r="A30" t="s">
        <v>1279</v>
      </c>
      <c r="B30" t="s">
        <v>1243</v>
      </c>
      <c r="C30" t="s">
        <v>1278</v>
      </c>
      <c r="D30" s="330" t="s">
        <v>824</v>
      </c>
    </row>
    <row r="31" spans="1:5" x14ac:dyDescent="0.2">
      <c r="A31" t="s">
        <v>1284</v>
      </c>
      <c r="B31" t="s">
        <v>1243</v>
      </c>
      <c r="C31" t="s">
        <v>1285</v>
      </c>
      <c r="D31" s="326">
        <v>9980054825</v>
      </c>
      <c r="E31" t="s">
        <v>1286</v>
      </c>
    </row>
    <row r="32" spans="1:5" x14ac:dyDescent="0.2">
      <c r="A32" t="s">
        <v>853</v>
      </c>
      <c r="B32" t="s">
        <v>1243</v>
      </c>
      <c r="D32" s="326" t="s">
        <v>854</v>
      </c>
    </row>
    <row r="33" spans="1:4" x14ac:dyDescent="0.2">
      <c r="A33" t="s">
        <v>1291</v>
      </c>
      <c r="B33" t="s">
        <v>1243</v>
      </c>
      <c r="D33" s="324">
        <v>9945711990</v>
      </c>
    </row>
    <row r="34" spans="1:4" x14ac:dyDescent="0.2">
      <c r="A34" s="416" t="s">
        <v>1356</v>
      </c>
      <c r="B34" t="s">
        <v>1243</v>
      </c>
      <c r="C34" t="s">
        <v>1357</v>
      </c>
      <c r="D34">
        <v>9900580247</v>
      </c>
    </row>
    <row r="35" spans="1:4" x14ac:dyDescent="0.2">
      <c r="A35" t="s">
        <v>1358</v>
      </c>
      <c r="B35" t="s">
        <v>1243</v>
      </c>
      <c r="C35" t="s">
        <v>1359</v>
      </c>
    </row>
    <row r="36" spans="1:4" x14ac:dyDescent="0.2">
      <c r="B36" t="s">
        <v>1243</v>
      </c>
    </row>
    <row r="37" spans="1:4" x14ac:dyDescent="0.2">
      <c r="B37" t="s">
        <v>1243</v>
      </c>
    </row>
    <row r="38" spans="1:4" x14ac:dyDescent="0.2">
      <c r="B38" t="s">
        <v>1243</v>
      </c>
    </row>
    <row r="39" spans="1:4" x14ac:dyDescent="0.2">
      <c r="B39" t="s">
        <v>1243</v>
      </c>
    </row>
    <row r="40" spans="1:4" x14ac:dyDescent="0.2">
      <c r="B40" t="s">
        <v>1243</v>
      </c>
    </row>
    <row r="41" spans="1:4" x14ac:dyDescent="0.2">
      <c r="B41" t="s">
        <v>1243</v>
      </c>
    </row>
    <row r="42" spans="1:4" x14ac:dyDescent="0.2">
      <c r="B42" t="s">
        <v>1243</v>
      </c>
    </row>
    <row r="43" spans="1:4" x14ac:dyDescent="0.2">
      <c r="B43" t="s">
        <v>1243</v>
      </c>
    </row>
    <row r="48" spans="1:4" x14ac:dyDescent="0.2">
      <c r="A48" s="324"/>
    </row>
  </sheetData>
  <hyperlinks>
    <hyperlink ref="E9" r:id="rId1" display="mailto:raghavendra.bhat@altisource.com"/>
    <hyperlink ref="E10" r:id="rId2"/>
    <hyperlink ref="E11" r:id="rId3"/>
    <hyperlink ref="E12" r:id="rId4"/>
    <hyperlink ref="E2" r:id="rId5"/>
    <hyperlink ref="E16" r:id="rId6"/>
    <hyperlink ref="E18" r:id="rId7"/>
    <hyperlink ref="E13" r:id="rId8"/>
    <hyperlink ref="E27" r:id="rId9"/>
    <hyperlink ref="E28" r:id="rId10"/>
    <hyperlink ref="E29" r:id="rId11"/>
    <hyperlink ref="A34" r:id="rId1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3"/>
  <sheetViews>
    <sheetView zoomScale="115" zoomScaleNormal="115" workbookViewId="0">
      <selection activeCell="E21" sqref="E21"/>
    </sheetView>
  </sheetViews>
  <sheetFormatPr baseColWidth="10" defaultColWidth="8.83203125" defaultRowHeight="15" x14ac:dyDescent="0.2"/>
  <cols>
    <col min="2" max="2" width="17.6640625" customWidth="1"/>
    <col min="3" max="3" width="26.6640625" customWidth="1"/>
    <col min="4" max="4" width="17.6640625" customWidth="1"/>
    <col min="6" max="6" width="23.83203125" bestFit="1" customWidth="1"/>
  </cols>
  <sheetData>
    <row r="1" spans="2:11" ht="16" thickBot="1" x14ac:dyDescent="0.25"/>
    <row r="2" spans="2:11" ht="16" thickBot="1" x14ac:dyDescent="0.25">
      <c r="B2" s="444" t="s">
        <v>1292</v>
      </c>
      <c r="C2" s="445"/>
      <c r="H2" s="425"/>
    </row>
    <row r="3" spans="2:11" x14ac:dyDescent="0.2">
      <c r="B3" s="437" t="s">
        <v>1294</v>
      </c>
      <c r="C3" s="438">
        <v>1500</v>
      </c>
      <c r="H3" s="429"/>
      <c r="I3" s="428"/>
      <c r="K3" s="428"/>
    </row>
    <row r="4" spans="2:11" x14ac:dyDescent="0.2">
      <c r="B4" s="439" t="s">
        <v>1295</v>
      </c>
      <c r="C4" s="440">
        <v>250</v>
      </c>
      <c r="F4" s="411" t="s">
        <v>1338</v>
      </c>
      <c r="H4" s="428"/>
      <c r="I4" s="428"/>
      <c r="K4" s="428"/>
    </row>
    <row r="5" spans="2:11" x14ac:dyDescent="0.2">
      <c r="B5" s="439" t="s">
        <v>1296</v>
      </c>
      <c r="C5" s="440">
        <v>1200</v>
      </c>
      <c r="F5" s="430" t="s">
        <v>1266</v>
      </c>
      <c r="H5" s="428"/>
      <c r="I5" s="428"/>
      <c r="K5" s="428"/>
    </row>
    <row r="6" spans="2:11" ht="16" thickBot="1" x14ac:dyDescent="0.25">
      <c r="B6" s="439" t="s">
        <v>1297</v>
      </c>
      <c r="C6" s="440">
        <v>150</v>
      </c>
      <c r="F6" s="428" t="s">
        <v>1315</v>
      </c>
      <c r="H6" s="428"/>
      <c r="I6" s="428"/>
      <c r="K6" s="428"/>
    </row>
    <row r="7" spans="2:11" ht="16" thickBot="1" x14ac:dyDescent="0.25">
      <c r="B7" s="431" t="s">
        <v>1340</v>
      </c>
      <c r="C7" s="432">
        <f>SUM(C3:C6)</f>
        <v>3100</v>
      </c>
      <c r="F7" s="428" t="s">
        <v>1339</v>
      </c>
      <c r="H7" s="428"/>
      <c r="I7" s="428"/>
      <c r="J7" s="428"/>
      <c r="K7" s="428"/>
    </row>
    <row r="8" spans="2:11" x14ac:dyDescent="0.2">
      <c r="B8" s="441" t="s">
        <v>1293</v>
      </c>
      <c r="C8" s="440"/>
      <c r="D8" s="428"/>
      <c r="E8" s="428"/>
      <c r="F8" s="428" t="s">
        <v>1333</v>
      </c>
      <c r="G8" s="428"/>
      <c r="H8" s="428"/>
      <c r="I8" s="428"/>
      <c r="J8" s="428"/>
      <c r="K8" s="428"/>
    </row>
    <row r="9" spans="2:11" ht="19" x14ac:dyDescent="0.25">
      <c r="B9" s="439" t="s">
        <v>1342</v>
      </c>
      <c r="C9" s="440">
        <v>7000</v>
      </c>
      <c r="D9" s="427"/>
      <c r="F9" s="428" t="s">
        <v>1346</v>
      </c>
      <c r="G9" s="428"/>
    </row>
    <row r="10" spans="2:11" ht="19" x14ac:dyDescent="0.25">
      <c r="B10" s="439" t="s">
        <v>1341</v>
      </c>
      <c r="C10" s="440">
        <v>250</v>
      </c>
      <c r="D10" s="426"/>
      <c r="F10" s="428" t="s">
        <v>1347</v>
      </c>
    </row>
    <row r="11" spans="2:11" ht="16" thickBot="1" x14ac:dyDescent="0.25">
      <c r="B11" s="439" t="s">
        <v>1343</v>
      </c>
      <c r="C11" s="440">
        <v>1000</v>
      </c>
      <c r="D11" s="418"/>
      <c r="F11" s="428" t="s">
        <v>1335</v>
      </c>
    </row>
    <row r="12" spans="2:11" ht="16" thickBot="1" x14ac:dyDescent="0.25">
      <c r="B12" s="433" t="s">
        <v>1303</v>
      </c>
      <c r="C12" s="434">
        <f>SUM(C9:C11)</f>
        <v>8250</v>
      </c>
      <c r="F12" s="428" t="s">
        <v>1348</v>
      </c>
    </row>
    <row r="13" spans="2:11" x14ac:dyDescent="0.2">
      <c r="B13" s="441" t="s">
        <v>625</v>
      </c>
      <c r="C13" s="442"/>
      <c r="F13" s="428" t="s">
        <v>1349</v>
      </c>
    </row>
    <row r="14" spans="2:11" x14ac:dyDescent="0.2">
      <c r="B14" s="439" t="s">
        <v>1298</v>
      </c>
      <c r="C14" s="440">
        <v>500</v>
      </c>
      <c r="F14" s="428" t="s">
        <v>1350</v>
      </c>
    </row>
    <row r="15" spans="2:11" x14ac:dyDescent="0.2">
      <c r="B15" s="439" t="s">
        <v>1299</v>
      </c>
      <c r="C15" s="440">
        <v>100</v>
      </c>
      <c r="F15" s="428" t="s">
        <v>1351</v>
      </c>
    </row>
    <row r="16" spans="2:11" x14ac:dyDescent="0.2">
      <c r="B16" s="439" t="s">
        <v>1300</v>
      </c>
      <c r="C16" s="440">
        <v>1000</v>
      </c>
      <c r="F16" s="428" t="s">
        <v>1352</v>
      </c>
    </row>
    <row r="17" spans="2:6" x14ac:dyDescent="0.2">
      <c r="B17" s="439" t="s">
        <v>1301</v>
      </c>
      <c r="C17" s="440">
        <v>500</v>
      </c>
      <c r="F17" s="428" t="s">
        <v>1353</v>
      </c>
    </row>
    <row r="18" spans="2:6" x14ac:dyDescent="0.2">
      <c r="B18" s="439" t="s">
        <v>1302</v>
      </c>
      <c r="C18" s="440">
        <v>100</v>
      </c>
      <c r="F18" s="428" t="s">
        <v>1354</v>
      </c>
    </row>
    <row r="19" spans="2:6" ht="20" thickBot="1" x14ac:dyDescent="0.3">
      <c r="B19" s="443" t="s">
        <v>1345</v>
      </c>
      <c r="C19" s="440">
        <v>100</v>
      </c>
      <c r="F19" s="428" t="s">
        <v>1355</v>
      </c>
    </row>
    <row r="20" spans="2:6" ht="16" thickBot="1" x14ac:dyDescent="0.25">
      <c r="B20" s="433" t="s">
        <v>1303</v>
      </c>
      <c r="C20" s="434">
        <f>SUM(C14:C19)</f>
        <v>2300</v>
      </c>
    </row>
    <row r="21" spans="2:6" ht="16" thickBot="1" x14ac:dyDescent="0.25">
      <c r="B21" s="435" t="s">
        <v>1344</v>
      </c>
      <c r="C21" s="436">
        <f>C20+C12+C7</f>
        <v>13650</v>
      </c>
    </row>
    <row r="23" spans="2:6" ht="19" x14ac:dyDescent="0.25">
      <c r="B23" s="42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I9" sqref="I9"/>
    </sheetView>
  </sheetViews>
  <sheetFormatPr baseColWidth="10" defaultColWidth="8.83203125" defaultRowHeight="15" x14ac:dyDescent="0.2"/>
  <cols>
    <col min="1" max="1" width="24" customWidth="1"/>
    <col min="5" max="5" width="23.5" customWidth="1"/>
  </cols>
  <sheetData>
    <row r="1" spans="1:10" x14ac:dyDescent="0.2">
      <c r="A1" s="257"/>
    </row>
    <row r="2" spans="1:10" ht="19" x14ac:dyDescent="0.25">
      <c r="A2" s="419" t="s">
        <v>1304</v>
      </c>
    </row>
    <row r="3" spans="1:10" ht="19" x14ac:dyDescent="0.25">
      <c r="A3" s="420" t="s">
        <v>1305</v>
      </c>
      <c r="E3" s="419" t="s">
        <v>1322</v>
      </c>
      <c r="I3" s="424" t="s">
        <v>1336</v>
      </c>
      <c r="J3" s="424"/>
    </row>
    <row r="4" spans="1:10" ht="19" x14ac:dyDescent="0.25">
      <c r="A4" s="420" t="s">
        <v>1306</v>
      </c>
      <c r="E4" s="420" t="s">
        <v>1266</v>
      </c>
      <c r="I4" s="423" t="s">
        <v>1333</v>
      </c>
    </row>
    <row r="5" spans="1:10" ht="19" x14ac:dyDescent="0.25">
      <c r="A5" s="420" t="s">
        <v>1307</v>
      </c>
      <c r="E5" s="420" t="s">
        <v>1323</v>
      </c>
      <c r="I5" s="423" t="s">
        <v>1334</v>
      </c>
    </row>
    <row r="6" spans="1:10" ht="19" x14ac:dyDescent="0.25">
      <c r="A6" s="420" t="s">
        <v>1308</v>
      </c>
      <c r="E6" s="420" t="s">
        <v>1324</v>
      </c>
      <c r="I6" s="423" t="s">
        <v>269</v>
      </c>
    </row>
    <row r="7" spans="1:10" ht="19" x14ac:dyDescent="0.25">
      <c r="A7" s="420" t="s">
        <v>1309</v>
      </c>
      <c r="E7" s="420" t="s">
        <v>350</v>
      </c>
      <c r="I7" s="423" t="s">
        <v>1335</v>
      </c>
    </row>
    <row r="8" spans="1:10" ht="19" x14ac:dyDescent="0.25">
      <c r="A8" s="420" t="s">
        <v>1310</v>
      </c>
      <c r="E8" s="420" t="s">
        <v>342</v>
      </c>
      <c r="I8" s="423" t="s">
        <v>1337</v>
      </c>
    </row>
    <row r="9" spans="1:10" ht="19" x14ac:dyDescent="0.25">
      <c r="A9" s="420" t="s">
        <v>1311</v>
      </c>
      <c r="E9" s="420" t="s">
        <v>1325</v>
      </c>
    </row>
    <row r="10" spans="1:10" ht="19" x14ac:dyDescent="0.25">
      <c r="A10" s="420" t="s">
        <v>1312</v>
      </c>
      <c r="E10" s="420" t="s">
        <v>437</v>
      </c>
    </row>
    <row r="11" spans="1:10" ht="19" x14ac:dyDescent="0.25">
      <c r="A11" s="420" t="s">
        <v>1313</v>
      </c>
      <c r="E11" s="420" t="s">
        <v>1326</v>
      </c>
    </row>
    <row r="12" spans="1:10" ht="19" x14ac:dyDescent="0.25">
      <c r="A12" s="420" t="s">
        <v>1314</v>
      </c>
      <c r="E12" s="420" t="s">
        <v>102</v>
      </c>
    </row>
    <row r="13" spans="1:10" ht="19" x14ac:dyDescent="0.25">
      <c r="A13" s="420" t="s">
        <v>1315</v>
      </c>
      <c r="E13" s="420" t="s">
        <v>1138</v>
      </c>
    </row>
    <row r="14" spans="1:10" ht="19" x14ac:dyDescent="0.25">
      <c r="A14" s="420" t="s">
        <v>1316</v>
      </c>
      <c r="E14" s="420" t="s">
        <v>1327</v>
      </c>
    </row>
    <row r="15" spans="1:10" ht="19" x14ac:dyDescent="0.25">
      <c r="A15" s="420" t="s">
        <v>1317</v>
      </c>
      <c r="E15" s="420" t="s">
        <v>1328</v>
      </c>
    </row>
    <row r="16" spans="1:10" ht="19" x14ac:dyDescent="0.25">
      <c r="A16" s="421" t="s">
        <v>1318</v>
      </c>
      <c r="E16" s="420" t="s">
        <v>1329</v>
      </c>
    </row>
    <row r="17" spans="1:5" ht="19" x14ac:dyDescent="0.25">
      <c r="A17" s="421" t="s">
        <v>1319</v>
      </c>
      <c r="E17" s="420" t="s">
        <v>1330</v>
      </c>
    </row>
    <row r="18" spans="1:5" ht="19" x14ac:dyDescent="0.25">
      <c r="A18" s="421" t="s">
        <v>1320</v>
      </c>
      <c r="E18" s="420" t="s">
        <v>1331</v>
      </c>
    </row>
    <row r="19" spans="1:5" ht="19" x14ac:dyDescent="0.25">
      <c r="A19" s="421" t="s">
        <v>1321</v>
      </c>
      <c r="E19" s="420" t="s">
        <v>1332</v>
      </c>
    </row>
    <row r="20" spans="1:5" ht="19" x14ac:dyDescent="0.25">
      <c r="A20" s="4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Sheet2</vt:lpstr>
      <vt:lpstr>Sheet9</vt:lpstr>
      <vt:lpstr>Sheet10</vt:lpstr>
      <vt:lpstr>Sheet4</vt:lpstr>
      <vt:lpstr>Aswin- List</vt:lpstr>
      <vt:lpstr>Sheet8</vt:lpstr>
      <vt:lpstr>Sheet11</vt:lpstr>
      <vt:lpstr>Sheet12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</dc:creator>
  <cp:lastModifiedBy>Microsoft Office User</cp:lastModifiedBy>
  <dcterms:created xsi:type="dcterms:W3CDTF">2015-09-21T21:10:15Z</dcterms:created>
  <dcterms:modified xsi:type="dcterms:W3CDTF">2025-04-05T14:27:30Z</dcterms:modified>
</cp:coreProperties>
</file>